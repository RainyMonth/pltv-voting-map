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920" windowHeight="12080"/>
  </bookViews>
  <sheets>
    <sheet name="Data_Master_2015_2026_UPDATED_t" sheetId="1" r:id="rId1"/>
    <sheet name="Sheet2" sheetId="3" r:id="rId2"/>
  </sheets>
  <definedNames>
    <definedName name="_xlnm._FilterDatabase" localSheetId="0" hidden="1">Data_Master_2015_2026_UPDATED_t!$A$1:$L$201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<sst xmlns="http://schemas.openxmlformats.org/spreadsheetml/2006/main" count="824" uniqueCount="27">
  <si>
    <t>Division</t>
  </si>
  <si>
    <t>Division and Dorms</t>
  </si>
  <si>
    <t>Election Type</t>
  </si>
  <si>
    <t>Ward</t>
  </si>
  <si>
    <t>Year</t>
  </si>
  <si>
    <t>Year Group</t>
  </si>
  <si>
    <t>In Person Count</t>
  </si>
  <si>
    <t>Mail/Absentee Count</t>
  </si>
  <si>
    <t>Provisional Count</t>
  </si>
  <si>
    <t>Registration Total</t>
  </si>
  <si>
    <t>Turnout Rate</t>
  </si>
  <si>
    <t>Vote Count</t>
  </si>
  <si>
    <t>3 - Kings Court English, Sansom House East and West Domus</t>
  </si>
  <si>
    <t>Primary</t>
  </si>
  <si>
    <t>2014, 2018, 2022, 2026</t>
  </si>
  <si>
    <t>6 - The Simon at Founder’s Row</t>
  </si>
  <si>
    <t>11 - Chestnut Hall &amp; 3737 Chestnut &amp; Chestnut Apartments &amp; Hamco &amp; The Hub, Radian, Axis</t>
  </si>
  <si>
    <t>18 - Rodin, Du bois, Gutmann</t>
  </si>
  <si>
    <t>19 - Lauder, Hill</t>
  </si>
  <si>
    <t>20 - Gregory, Harrison</t>
  </si>
  <si>
    <t>21 - Harnwell, Stouffer-Mayer</t>
  </si>
  <si>
    <t>22 - The Quad (Fisher-Hassenfeld, Riepe, Ware), Stouffer-Stouffer</t>
  </si>
  <si>
    <t>General</t>
  </si>
  <si>
    <t>2017, 2021, 2025</t>
  </si>
  <si>
    <t>2016, 2020, 2024</t>
  </si>
  <si>
    <t>2015, 2019, 2023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</si>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</sst>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6"/>
  <sheetViews>
    <sheetView tabSelected="1" zoomScale="101" zoomScaleNormal="101" zoomScaleSheetLayoutView="60" workbookViewId="0">
      <selection activeCell="E19" sqref="E19"/>
    </sheetView>
  </sheetViews>
  <sheetFormatPr defaultColWidth="10.3846153846154" defaultRowHeight="16.8"/>
  <cols>
    <col min="2" max="4" width="10.3846153846154" customWidth="1"/>
    <col min="6" max="6" width="22" customWidth="1"/>
    <col min="7" max="7" width="16.7692307692308" customWidth="1"/>
    <col min="8" max="8" width="24.75" customWidth="1"/>
    <col min="9" max="9" width="18.6153846153846" customWidth="1"/>
    <col min="10" max="10" width="18.6923076923077" customWidth="1"/>
    <col min="11" max="11" width="14" customWidth="1"/>
    <col min="12" max="12" width="12.076923076923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>
        <v>3</v>
      </c>
      <c r="B2" t="s">
        <v>12</v>
      </c>
      <c r="C2" t="s">
        <v>13</v>
      </c>
      <c r="D2">
        <v>27</v>
      </c>
      <c r="E2">
        <v>2026</v>
      </c>
      <c r="F2" t="s">
        <v>14</v>
      </c>
      <c r="G2">
        <v>15</v>
      </c>
      <c r="H2">
        <v>16</v>
      </c>
      <c r="I2">
        <v>0</v>
      </c>
      <c r="J2">
        <v>804</v>
      </c>
      <c r="K2">
        <v>0.039</v>
      </c>
      <c r="L2">
        <v>31</v>
      </c>
    </row>
    <row r="3" spans="1:12">
      <c r="A3">
        <v>6</v>
      </c>
      <c r="B3" t="s">
        <v>15</v>
      </c>
      <c r="C3" t="s">
        <v>13</v>
      </c>
      <c r="D3">
        <v>27</v>
      </c>
      <c r="E3">
        <v>2026</v>
      </c>
      <c r="F3" t="s">
        <v>14</v>
      </c>
      <c r="G3">
        <v>102</v>
      </c>
      <c r="H3">
        <v>26</v>
      </c>
      <c r="I3">
        <v>0</v>
      </c>
      <c r="J3">
        <v>1499</v>
      </c>
      <c r="K3">
        <v>0.085</v>
      </c>
      <c r="L3">
        <v>128</v>
      </c>
    </row>
    <row r="4" spans="1:12">
      <c r="A4">
        <v>11</v>
      </c>
      <c r="B4" t="s">
        <v>16</v>
      </c>
      <c r="C4" t="s">
        <v>13</v>
      </c>
      <c r="D4">
        <v>27</v>
      </c>
      <c r="E4">
        <v>2026</v>
      </c>
      <c r="F4" t="s">
        <v>14</v>
      </c>
      <c r="G4">
        <v>29</v>
      </c>
      <c r="H4">
        <v>10</v>
      </c>
      <c r="I4">
        <v>0</v>
      </c>
      <c r="J4">
        <v>1678</v>
      </c>
      <c r="K4">
        <v>0.023</v>
      </c>
      <c r="L4">
        <v>39</v>
      </c>
    </row>
    <row r="5" spans="1:12">
      <c r="A5">
        <v>18</v>
      </c>
      <c r="B5" t="s">
        <v>17</v>
      </c>
      <c r="C5" t="s">
        <v>13</v>
      </c>
      <c r="D5">
        <v>27</v>
      </c>
      <c r="E5">
        <v>2026</v>
      </c>
      <c r="F5" t="s">
        <v>14</v>
      </c>
      <c r="G5">
        <v>21</v>
      </c>
      <c r="H5">
        <v>9</v>
      </c>
      <c r="I5">
        <v>0</v>
      </c>
      <c r="J5">
        <v>1064</v>
      </c>
      <c r="K5">
        <v>0.028</v>
      </c>
      <c r="L5">
        <v>30</v>
      </c>
    </row>
    <row r="6" spans="1:12">
      <c r="A6">
        <v>19</v>
      </c>
      <c r="B6" t="s">
        <v>18</v>
      </c>
      <c r="C6" t="s">
        <v>13</v>
      </c>
      <c r="D6">
        <v>27</v>
      </c>
      <c r="E6">
        <v>2026</v>
      </c>
      <c r="F6" t="s">
        <v>14</v>
      </c>
      <c r="G6">
        <v>69</v>
      </c>
      <c r="H6">
        <v>24</v>
      </c>
      <c r="I6">
        <v>2</v>
      </c>
      <c r="J6">
        <v>2143</v>
      </c>
      <c r="K6">
        <v>0.044</v>
      </c>
      <c r="L6">
        <v>95</v>
      </c>
    </row>
    <row r="7" spans="1:12">
      <c r="A7">
        <v>20</v>
      </c>
      <c r="B7" t="s">
        <v>19</v>
      </c>
      <c r="C7" t="s">
        <v>13</v>
      </c>
      <c r="D7">
        <v>27</v>
      </c>
      <c r="E7">
        <v>2026</v>
      </c>
      <c r="F7" t="s">
        <v>14</v>
      </c>
      <c r="G7">
        <v>8</v>
      </c>
      <c r="H7">
        <v>3</v>
      </c>
      <c r="I7">
        <v>1</v>
      </c>
      <c r="J7">
        <v>743</v>
      </c>
      <c r="K7">
        <v>0.016</v>
      </c>
      <c r="L7">
        <v>12</v>
      </c>
    </row>
    <row r="8" spans="1:12">
      <c r="A8">
        <v>21</v>
      </c>
      <c r="B8" t="s">
        <v>20</v>
      </c>
      <c r="C8" t="s">
        <v>13</v>
      </c>
      <c r="D8">
        <v>27</v>
      </c>
      <c r="E8">
        <v>2026</v>
      </c>
      <c r="F8" t="s">
        <v>14</v>
      </c>
      <c r="G8">
        <v>24</v>
      </c>
      <c r="H8">
        <v>3</v>
      </c>
      <c r="I8">
        <v>4</v>
      </c>
      <c r="J8">
        <v>1160</v>
      </c>
      <c r="K8">
        <v>0.027</v>
      </c>
      <c r="L8">
        <v>31</v>
      </c>
    </row>
    <row r="9" spans="1:12">
      <c r="A9">
        <v>22</v>
      </c>
      <c r="B9" t="s">
        <v>21</v>
      </c>
      <c r="C9" t="s">
        <v>13</v>
      </c>
      <c r="D9">
        <v>27</v>
      </c>
      <c r="E9">
        <v>2026</v>
      </c>
      <c r="F9" t="s">
        <v>14</v>
      </c>
      <c r="G9">
        <v>10</v>
      </c>
      <c r="H9">
        <v>9</v>
      </c>
      <c r="I9">
        <v>0</v>
      </c>
      <c r="J9">
        <v>1390</v>
      </c>
      <c r="K9">
        <v>0.014</v>
      </c>
      <c r="L9">
        <v>19</v>
      </c>
    </row>
    <row r="10" spans="1:12">
      <c r="A10">
        <v>3</v>
      </c>
      <c r="B10" t="s">
        <v>12</v>
      </c>
      <c r="C10" t="s">
        <v>22</v>
      </c>
      <c r="D10">
        <v>27</v>
      </c>
      <c r="E10">
        <v>2025</v>
      </c>
      <c r="F10" t="s">
        <v>23</v>
      </c>
      <c r="G10">
        <v>126</v>
      </c>
      <c r="H10">
        <v>17</v>
      </c>
      <c r="I10">
        <v>3</v>
      </c>
      <c r="J10">
        <v>805</v>
      </c>
      <c r="K10">
        <v>0.181</v>
      </c>
      <c r="L10">
        <v>146</v>
      </c>
    </row>
    <row r="11" spans="1:12">
      <c r="A11">
        <v>6</v>
      </c>
      <c r="B11" t="s">
        <v>15</v>
      </c>
      <c r="C11" t="s">
        <v>22</v>
      </c>
      <c r="D11">
        <v>27</v>
      </c>
      <c r="E11">
        <v>2025</v>
      </c>
      <c r="F11" t="s">
        <v>23</v>
      </c>
      <c r="G11">
        <v>245</v>
      </c>
      <c r="H11">
        <v>37</v>
      </c>
      <c r="I11">
        <v>3</v>
      </c>
      <c r="J11">
        <v>1509</v>
      </c>
      <c r="K11">
        <v>0.189</v>
      </c>
      <c r="L11">
        <v>285</v>
      </c>
    </row>
    <row r="12" spans="1:12">
      <c r="A12">
        <v>11</v>
      </c>
      <c r="B12" t="s">
        <v>16</v>
      </c>
      <c r="C12" t="s">
        <v>22</v>
      </c>
      <c r="D12">
        <v>27</v>
      </c>
      <c r="E12">
        <v>2025</v>
      </c>
      <c r="F12" t="s">
        <v>23</v>
      </c>
      <c r="G12">
        <v>177</v>
      </c>
      <c r="H12">
        <v>23</v>
      </c>
      <c r="I12">
        <v>2</v>
      </c>
      <c r="J12">
        <v>1682</v>
      </c>
      <c r="K12">
        <v>0.12</v>
      </c>
      <c r="L12">
        <v>202</v>
      </c>
    </row>
    <row r="13" spans="1:12">
      <c r="A13">
        <v>18</v>
      </c>
      <c r="B13" t="s">
        <v>17</v>
      </c>
      <c r="C13" t="s">
        <v>22</v>
      </c>
      <c r="D13">
        <v>27</v>
      </c>
      <c r="E13">
        <v>2025</v>
      </c>
      <c r="F13" t="s">
        <v>23</v>
      </c>
      <c r="G13">
        <v>235</v>
      </c>
      <c r="H13">
        <v>7</v>
      </c>
      <c r="I13">
        <v>1</v>
      </c>
      <c r="J13">
        <v>1067</v>
      </c>
      <c r="K13">
        <v>0.228</v>
      </c>
      <c r="L13">
        <v>243</v>
      </c>
    </row>
    <row r="14" spans="1:12">
      <c r="A14">
        <v>19</v>
      </c>
      <c r="B14" t="s">
        <v>18</v>
      </c>
      <c r="C14" t="s">
        <v>22</v>
      </c>
      <c r="D14">
        <v>27</v>
      </c>
      <c r="E14">
        <v>2025</v>
      </c>
      <c r="F14" t="s">
        <v>23</v>
      </c>
      <c r="G14">
        <v>415</v>
      </c>
      <c r="H14">
        <v>45</v>
      </c>
      <c r="I14">
        <v>11</v>
      </c>
      <c r="J14">
        <v>2119</v>
      </c>
      <c r="K14">
        <v>0.222</v>
      </c>
      <c r="L14">
        <v>471</v>
      </c>
    </row>
    <row r="15" spans="1:12">
      <c r="A15">
        <v>20</v>
      </c>
      <c r="B15" t="s">
        <v>19</v>
      </c>
      <c r="C15" t="s">
        <v>22</v>
      </c>
      <c r="D15">
        <v>27</v>
      </c>
      <c r="E15">
        <v>2025</v>
      </c>
      <c r="F15" t="s">
        <v>23</v>
      </c>
      <c r="G15">
        <v>154</v>
      </c>
      <c r="H15">
        <v>0</v>
      </c>
      <c r="I15">
        <v>1</v>
      </c>
      <c r="J15">
        <v>737</v>
      </c>
      <c r="K15">
        <v>0.21</v>
      </c>
      <c r="L15">
        <v>155</v>
      </c>
    </row>
    <row r="16" spans="1:12">
      <c r="A16">
        <v>21</v>
      </c>
      <c r="B16" t="s">
        <v>20</v>
      </c>
      <c r="C16" t="s">
        <v>22</v>
      </c>
      <c r="D16">
        <v>27</v>
      </c>
      <c r="E16">
        <v>2025</v>
      </c>
      <c r="F16" t="s">
        <v>23</v>
      </c>
      <c r="G16">
        <v>255</v>
      </c>
      <c r="H16">
        <v>6</v>
      </c>
      <c r="I16">
        <v>3</v>
      </c>
      <c r="J16">
        <v>1149</v>
      </c>
      <c r="K16">
        <v>0.23</v>
      </c>
      <c r="L16">
        <v>264</v>
      </c>
    </row>
    <row r="17" spans="1:12">
      <c r="A17">
        <v>22</v>
      </c>
      <c r="B17" t="s">
        <v>21</v>
      </c>
      <c r="C17" t="s">
        <v>22</v>
      </c>
      <c r="D17">
        <v>27</v>
      </c>
      <c r="E17">
        <v>2025</v>
      </c>
      <c r="F17" t="s">
        <v>23</v>
      </c>
      <c r="G17">
        <v>292</v>
      </c>
      <c r="H17">
        <v>1</v>
      </c>
      <c r="I17">
        <v>6</v>
      </c>
      <c r="J17">
        <v>1383</v>
      </c>
      <c r="K17">
        <v>0.216</v>
      </c>
      <c r="L17">
        <v>299</v>
      </c>
    </row>
    <row r="18" spans="1:12">
      <c r="A18">
        <v>3</v>
      </c>
      <c r="B18" t="s">
        <v>12</v>
      </c>
      <c r="C18" t="s">
        <v>13</v>
      </c>
      <c r="D18">
        <v>27</v>
      </c>
      <c r="E18">
        <v>2025</v>
      </c>
      <c r="F18" t="s">
        <v>23</v>
      </c>
      <c r="G18">
        <v>8</v>
      </c>
      <c r="H18">
        <v>9</v>
      </c>
      <c r="I18">
        <v>0</v>
      </c>
      <c r="J18">
        <v>769</v>
      </c>
      <c r="K18">
        <v>0.022</v>
      </c>
      <c r="L18">
        <v>17</v>
      </c>
    </row>
    <row r="19" spans="1:12">
      <c r="A19">
        <v>6</v>
      </c>
      <c r="B19" t="s">
        <v>15</v>
      </c>
      <c r="C19" t="s">
        <v>13</v>
      </c>
      <c r="D19">
        <v>27</v>
      </c>
      <c r="E19">
        <v>2025</v>
      </c>
      <c r="F19" t="s">
        <v>23</v>
      </c>
      <c r="G19">
        <v>56</v>
      </c>
      <c r="H19">
        <v>10</v>
      </c>
      <c r="I19">
        <v>0</v>
      </c>
      <c r="J19">
        <v>1513</v>
      </c>
      <c r="K19">
        <v>0.044</v>
      </c>
      <c r="L19">
        <v>66</v>
      </c>
    </row>
    <row r="20" spans="1:12">
      <c r="A20">
        <v>11</v>
      </c>
      <c r="B20" t="s">
        <v>16</v>
      </c>
      <c r="C20" t="s">
        <v>13</v>
      </c>
      <c r="D20">
        <v>27</v>
      </c>
      <c r="E20">
        <v>2025</v>
      </c>
      <c r="F20" t="s">
        <v>23</v>
      </c>
      <c r="G20">
        <v>19</v>
      </c>
      <c r="H20">
        <v>5</v>
      </c>
      <c r="I20">
        <v>0</v>
      </c>
      <c r="J20">
        <v>1676</v>
      </c>
      <c r="K20">
        <v>0.014</v>
      </c>
      <c r="L20">
        <v>24</v>
      </c>
    </row>
    <row r="21" spans="1:12">
      <c r="A21">
        <v>18</v>
      </c>
      <c r="B21" t="s">
        <v>17</v>
      </c>
      <c r="C21" t="s">
        <v>13</v>
      </c>
      <c r="D21">
        <v>27</v>
      </c>
      <c r="E21">
        <v>2025</v>
      </c>
      <c r="F21" t="s">
        <v>23</v>
      </c>
      <c r="G21">
        <v>7</v>
      </c>
      <c r="H21">
        <v>3</v>
      </c>
      <c r="I21">
        <v>0</v>
      </c>
      <c r="J21">
        <v>1038</v>
      </c>
      <c r="K21">
        <v>0.01</v>
      </c>
      <c r="L21">
        <v>10</v>
      </c>
    </row>
    <row r="22" spans="1:12">
      <c r="A22">
        <v>19</v>
      </c>
      <c r="B22" t="s">
        <v>18</v>
      </c>
      <c r="C22" t="s">
        <v>13</v>
      </c>
      <c r="D22">
        <v>27</v>
      </c>
      <c r="E22">
        <v>2025</v>
      </c>
      <c r="F22" t="s">
        <v>23</v>
      </c>
      <c r="G22">
        <v>31</v>
      </c>
      <c r="H22">
        <v>17</v>
      </c>
      <c r="I22">
        <v>2</v>
      </c>
      <c r="J22">
        <v>2017</v>
      </c>
      <c r="K22">
        <v>0.025</v>
      </c>
      <c r="L22">
        <v>50</v>
      </c>
    </row>
    <row r="23" spans="1:12">
      <c r="A23">
        <v>20</v>
      </c>
      <c r="B23" t="s">
        <v>19</v>
      </c>
      <c r="C23" t="s">
        <v>13</v>
      </c>
      <c r="D23">
        <v>27</v>
      </c>
      <c r="E23">
        <v>2025</v>
      </c>
      <c r="F23" t="s">
        <v>23</v>
      </c>
      <c r="G23">
        <v>5</v>
      </c>
      <c r="H23">
        <v>2</v>
      </c>
      <c r="I23">
        <v>0</v>
      </c>
      <c r="J23">
        <v>726</v>
      </c>
      <c r="K23">
        <v>0.01</v>
      </c>
      <c r="L23">
        <v>7</v>
      </c>
    </row>
    <row r="24" spans="1:12">
      <c r="A24">
        <v>21</v>
      </c>
      <c r="B24" t="s">
        <v>20</v>
      </c>
      <c r="C24" t="s">
        <v>13</v>
      </c>
      <c r="D24">
        <v>27</v>
      </c>
      <c r="E24">
        <v>2025</v>
      </c>
      <c r="F24" t="s">
        <v>23</v>
      </c>
      <c r="G24">
        <v>8</v>
      </c>
      <c r="H24">
        <v>3</v>
      </c>
      <c r="I24">
        <v>3</v>
      </c>
      <c r="J24">
        <v>1142</v>
      </c>
      <c r="K24">
        <v>0.012</v>
      </c>
      <c r="L24">
        <v>14</v>
      </c>
    </row>
    <row r="25" spans="1:12">
      <c r="A25">
        <v>22</v>
      </c>
      <c r="B25" t="s">
        <v>21</v>
      </c>
      <c r="C25" t="s">
        <v>13</v>
      </c>
      <c r="D25">
        <v>27</v>
      </c>
      <c r="E25">
        <v>2025</v>
      </c>
      <c r="F25" t="s">
        <v>23</v>
      </c>
      <c r="G25">
        <v>7</v>
      </c>
      <c r="H25">
        <v>0</v>
      </c>
      <c r="I25">
        <v>0</v>
      </c>
      <c r="J25">
        <v>1294</v>
      </c>
      <c r="K25">
        <v>0.005</v>
      </c>
      <c r="L25">
        <v>7</v>
      </c>
    </row>
    <row r="26" spans="1:12">
      <c r="A26">
        <v>3</v>
      </c>
      <c r="B26" t="s">
        <v>12</v>
      </c>
      <c r="C26" t="s">
        <v>22</v>
      </c>
      <c r="D26">
        <v>27</v>
      </c>
      <c r="E26">
        <v>2024</v>
      </c>
      <c r="F26" t="s">
        <v>24</v>
      </c>
      <c r="G26">
        <v>304</v>
      </c>
      <c r="H26">
        <v>87</v>
      </c>
      <c r="I26">
        <v>10</v>
      </c>
      <c r="J26">
        <v>948</v>
      </c>
      <c r="K26">
        <v>0.423</v>
      </c>
      <c r="L26">
        <v>401</v>
      </c>
    </row>
    <row r="27" spans="1:12">
      <c r="A27">
        <v>6</v>
      </c>
      <c r="B27" t="s">
        <v>15</v>
      </c>
      <c r="C27" t="s">
        <v>22</v>
      </c>
      <c r="D27">
        <v>27</v>
      </c>
      <c r="E27">
        <v>2024</v>
      </c>
      <c r="F27" t="s">
        <v>24</v>
      </c>
      <c r="G27">
        <v>488</v>
      </c>
      <c r="H27">
        <v>288</v>
      </c>
      <c r="I27">
        <v>16</v>
      </c>
      <c r="J27">
        <v>1699</v>
      </c>
      <c r="K27">
        <v>0.466</v>
      </c>
      <c r="L27">
        <v>792</v>
      </c>
    </row>
    <row r="28" spans="1:12">
      <c r="A28">
        <v>11</v>
      </c>
      <c r="B28" t="s">
        <v>16</v>
      </c>
      <c r="C28" t="s">
        <v>22</v>
      </c>
      <c r="D28">
        <v>27</v>
      </c>
      <c r="E28">
        <v>2024</v>
      </c>
      <c r="F28" t="s">
        <v>24</v>
      </c>
      <c r="G28">
        <v>610</v>
      </c>
      <c r="H28">
        <v>207</v>
      </c>
      <c r="I28">
        <v>10</v>
      </c>
      <c r="J28">
        <v>2012</v>
      </c>
      <c r="K28">
        <v>0.411</v>
      </c>
      <c r="L28">
        <v>827</v>
      </c>
    </row>
    <row r="29" spans="1:12">
      <c r="A29">
        <v>18</v>
      </c>
      <c r="B29" t="s">
        <v>17</v>
      </c>
      <c r="C29" t="s">
        <v>22</v>
      </c>
      <c r="D29">
        <v>27</v>
      </c>
      <c r="E29">
        <v>2024</v>
      </c>
      <c r="F29" t="s">
        <v>24</v>
      </c>
      <c r="G29">
        <v>530</v>
      </c>
      <c r="H29">
        <v>113</v>
      </c>
      <c r="I29">
        <v>5</v>
      </c>
      <c r="J29">
        <v>1214</v>
      </c>
      <c r="K29">
        <v>0.534</v>
      </c>
      <c r="L29">
        <v>648</v>
      </c>
    </row>
    <row r="30" spans="1:12">
      <c r="A30">
        <v>19</v>
      </c>
      <c r="B30" t="s">
        <v>18</v>
      </c>
      <c r="C30" t="s">
        <v>22</v>
      </c>
      <c r="D30">
        <v>27</v>
      </c>
      <c r="E30">
        <v>2024</v>
      </c>
      <c r="F30" t="s">
        <v>24</v>
      </c>
      <c r="G30">
        <v>969</v>
      </c>
      <c r="H30">
        <v>277</v>
      </c>
      <c r="I30">
        <v>23</v>
      </c>
      <c r="J30">
        <v>2261</v>
      </c>
      <c r="K30">
        <v>0.561</v>
      </c>
      <c r="L30">
        <v>1269</v>
      </c>
    </row>
    <row r="31" spans="1:12">
      <c r="A31">
        <v>20</v>
      </c>
      <c r="B31" t="s">
        <v>19</v>
      </c>
      <c r="C31" t="s">
        <v>22</v>
      </c>
      <c r="D31">
        <v>27</v>
      </c>
      <c r="E31">
        <v>2024</v>
      </c>
      <c r="F31" t="s">
        <v>24</v>
      </c>
      <c r="G31">
        <v>357</v>
      </c>
      <c r="H31">
        <v>70</v>
      </c>
      <c r="I31">
        <v>3</v>
      </c>
      <c r="J31">
        <v>795</v>
      </c>
      <c r="K31">
        <v>0.541</v>
      </c>
      <c r="L31">
        <v>430</v>
      </c>
    </row>
    <row r="32" spans="1:12">
      <c r="A32">
        <v>21</v>
      </c>
      <c r="B32" t="s">
        <v>20</v>
      </c>
      <c r="C32" t="s">
        <v>22</v>
      </c>
      <c r="D32">
        <v>27</v>
      </c>
      <c r="E32">
        <v>2024</v>
      </c>
      <c r="F32" t="s">
        <v>24</v>
      </c>
      <c r="G32">
        <v>658</v>
      </c>
      <c r="H32">
        <v>114</v>
      </c>
      <c r="I32">
        <v>2</v>
      </c>
      <c r="J32">
        <v>1257</v>
      </c>
      <c r="K32">
        <v>0.616</v>
      </c>
      <c r="L32">
        <v>774</v>
      </c>
    </row>
    <row r="33" spans="1:12">
      <c r="A33">
        <v>22</v>
      </c>
      <c r="B33" t="s">
        <v>21</v>
      </c>
      <c r="C33" t="s">
        <v>22</v>
      </c>
      <c r="D33">
        <v>27</v>
      </c>
      <c r="E33">
        <v>2024</v>
      </c>
      <c r="F33" t="s">
        <v>24</v>
      </c>
      <c r="G33">
        <v>642</v>
      </c>
      <c r="H33">
        <v>90</v>
      </c>
      <c r="I33">
        <v>16</v>
      </c>
      <c r="J33">
        <v>1476</v>
      </c>
      <c r="K33">
        <v>0.507</v>
      </c>
      <c r="L33">
        <v>748</v>
      </c>
    </row>
    <row r="34" spans="1:12">
      <c r="A34">
        <v>3</v>
      </c>
      <c r="B34" t="s">
        <v>12</v>
      </c>
      <c r="C34" t="s">
        <v>13</v>
      </c>
      <c r="D34">
        <v>27</v>
      </c>
      <c r="E34">
        <v>2024</v>
      </c>
      <c r="F34" t="s">
        <v>24</v>
      </c>
      <c r="G34">
        <v>42</v>
      </c>
      <c r="H34">
        <v>6</v>
      </c>
      <c r="I34">
        <v>1</v>
      </c>
      <c r="J34">
        <v>738</v>
      </c>
      <c r="K34">
        <v>0.066</v>
      </c>
      <c r="L34">
        <v>49</v>
      </c>
    </row>
    <row r="35" spans="1:12">
      <c r="A35">
        <v>6</v>
      </c>
      <c r="B35" t="s">
        <v>15</v>
      </c>
      <c r="C35" t="s">
        <v>13</v>
      </c>
      <c r="D35">
        <v>27</v>
      </c>
      <c r="E35">
        <v>2024</v>
      </c>
      <c r="F35" t="s">
        <v>24</v>
      </c>
      <c r="G35">
        <v>88</v>
      </c>
      <c r="H35">
        <v>21</v>
      </c>
      <c r="I35">
        <v>0</v>
      </c>
      <c r="J35">
        <v>1286</v>
      </c>
      <c r="K35">
        <v>0.085</v>
      </c>
      <c r="L35">
        <v>109</v>
      </c>
    </row>
    <row r="36" spans="1:12">
      <c r="A36">
        <v>11</v>
      </c>
      <c r="B36" t="s">
        <v>16</v>
      </c>
      <c r="C36" t="s">
        <v>13</v>
      </c>
      <c r="D36">
        <v>27</v>
      </c>
      <c r="E36">
        <v>2024</v>
      </c>
      <c r="F36" t="s">
        <v>24</v>
      </c>
      <c r="G36">
        <v>57</v>
      </c>
      <c r="H36">
        <v>5</v>
      </c>
      <c r="I36">
        <v>1</v>
      </c>
      <c r="J36">
        <v>1497</v>
      </c>
      <c r="K36">
        <v>0.042</v>
      </c>
      <c r="L36">
        <v>63</v>
      </c>
    </row>
    <row r="37" spans="1:12">
      <c r="A37">
        <v>18</v>
      </c>
      <c r="B37" t="s">
        <v>17</v>
      </c>
      <c r="C37" t="s">
        <v>13</v>
      </c>
      <c r="D37">
        <v>27</v>
      </c>
      <c r="E37">
        <v>2024</v>
      </c>
      <c r="F37" t="s">
        <v>24</v>
      </c>
      <c r="G37">
        <v>81</v>
      </c>
      <c r="H37">
        <v>1</v>
      </c>
      <c r="I37">
        <v>1</v>
      </c>
      <c r="J37">
        <v>790</v>
      </c>
      <c r="K37">
        <v>0.105</v>
      </c>
      <c r="L37">
        <v>83</v>
      </c>
    </row>
    <row r="38" spans="1:12">
      <c r="A38">
        <v>19</v>
      </c>
      <c r="B38" t="s">
        <v>18</v>
      </c>
      <c r="C38" t="s">
        <v>13</v>
      </c>
      <c r="D38">
        <v>27</v>
      </c>
      <c r="E38">
        <v>2024</v>
      </c>
      <c r="F38" t="s">
        <v>24</v>
      </c>
      <c r="G38">
        <v>122</v>
      </c>
      <c r="H38">
        <v>24</v>
      </c>
      <c r="I38">
        <v>1</v>
      </c>
      <c r="J38">
        <v>1700</v>
      </c>
      <c r="K38">
        <v>0.086</v>
      </c>
      <c r="L38">
        <v>147</v>
      </c>
    </row>
    <row r="39" spans="1:12">
      <c r="A39">
        <v>20</v>
      </c>
      <c r="B39" t="s">
        <v>19</v>
      </c>
      <c r="C39" t="s">
        <v>13</v>
      </c>
      <c r="D39">
        <v>27</v>
      </c>
      <c r="E39">
        <v>2024</v>
      </c>
      <c r="F39" t="s">
        <v>24</v>
      </c>
      <c r="G39">
        <v>48</v>
      </c>
      <c r="H39">
        <v>2</v>
      </c>
      <c r="I39">
        <v>1</v>
      </c>
      <c r="J39">
        <v>545</v>
      </c>
      <c r="K39">
        <v>0.094</v>
      </c>
      <c r="L39">
        <v>51</v>
      </c>
    </row>
    <row r="40" spans="1:12">
      <c r="A40">
        <v>21</v>
      </c>
      <c r="B40" t="s">
        <v>20</v>
      </c>
      <c r="C40" t="s">
        <v>13</v>
      </c>
      <c r="D40">
        <v>27</v>
      </c>
      <c r="E40">
        <v>2024</v>
      </c>
      <c r="F40" t="s">
        <v>24</v>
      </c>
      <c r="G40">
        <v>103</v>
      </c>
      <c r="H40">
        <v>3</v>
      </c>
      <c r="I40">
        <v>1</v>
      </c>
      <c r="J40">
        <v>916</v>
      </c>
      <c r="K40">
        <v>0.117</v>
      </c>
      <c r="L40">
        <v>107</v>
      </c>
    </row>
    <row r="41" spans="1:12">
      <c r="A41">
        <v>22</v>
      </c>
      <c r="B41" t="s">
        <v>21</v>
      </c>
      <c r="C41" t="s">
        <v>13</v>
      </c>
      <c r="D41">
        <v>27</v>
      </c>
      <c r="E41">
        <v>2024</v>
      </c>
      <c r="F41" t="s">
        <v>24</v>
      </c>
      <c r="G41">
        <v>122</v>
      </c>
      <c r="H41">
        <v>1</v>
      </c>
      <c r="I41">
        <v>3</v>
      </c>
      <c r="J41">
        <v>1384</v>
      </c>
      <c r="K41">
        <v>0.091</v>
      </c>
      <c r="L41">
        <v>126</v>
      </c>
    </row>
    <row r="42" spans="1:12">
      <c r="A42">
        <v>3</v>
      </c>
      <c r="B42" t="s">
        <v>12</v>
      </c>
      <c r="C42" t="s">
        <v>22</v>
      </c>
      <c r="D42">
        <v>27</v>
      </c>
      <c r="E42">
        <v>2023</v>
      </c>
      <c r="F42" t="s">
        <v>25</v>
      </c>
      <c r="G42">
        <v>62</v>
      </c>
      <c r="H42">
        <v>16</v>
      </c>
      <c r="I42">
        <v>0</v>
      </c>
      <c r="J42">
        <v>726</v>
      </c>
      <c r="K42">
        <v>0.107</v>
      </c>
      <c r="L42">
        <v>78</v>
      </c>
    </row>
    <row r="43" spans="1:12">
      <c r="A43">
        <v>6</v>
      </c>
      <c r="B43" t="s">
        <v>15</v>
      </c>
      <c r="C43" t="s">
        <v>22</v>
      </c>
      <c r="D43">
        <v>27</v>
      </c>
      <c r="E43">
        <v>2023</v>
      </c>
      <c r="F43" t="s">
        <v>25</v>
      </c>
      <c r="G43">
        <v>138</v>
      </c>
      <c r="H43">
        <v>34</v>
      </c>
      <c r="I43">
        <v>2</v>
      </c>
      <c r="J43">
        <v>1267</v>
      </c>
      <c r="K43">
        <v>0.137</v>
      </c>
      <c r="L43">
        <v>174</v>
      </c>
    </row>
    <row r="44" spans="1:12">
      <c r="A44">
        <v>11</v>
      </c>
      <c r="B44" t="s">
        <v>16</v>
      </c>
      <c r="C44" t="s">
        <v>22</v>
      </c>
      <c r="D44">
        <v>27</v>
      </c>
      <c r="E44">
        <v>2023</v>
      </c>
      <c r="F44" t="s">
        <v>25</v>
      </c>
      <c r="G44">
        <v>121</v>
      </c>
      <c r="H44">
        <v>12</v>
      </c>
      <c r="I44">
        <v>2</v>
      </c>
      <c r="J44">
        <v>1498</v>
      </c>
      <c r="K44">
        <v>0.09</v>
      </c>
      <c r="L44">
        <v>135</v>
      </c>
    </row>
    <row r="45" spans="1:12">
      <c r="A45">
        <v>18</v>
      </c>
      <c r="B45" t="s">
        <v>17</v>
      </c>
      <c r="C45" t="s">
        <v>22</v>
      </c>
      <c r="D45">
        <v>27</v>
      </c>
      <c r="E45">
        <v>2023</v>
      </c>
      <c r="F45" t="s">
        <v>25</v>
      </c>
      <c r="G45">
        <v>123</v>
      </c>
      <c r="H45">
        <v>0</v>
      </c>
      <c r="I45">
        <v>6</v>
      </c>
      <c r="J45">
        <v>760</v>
      </c>
      <c r="K45">
        <v>0.17</v>
      </c>
      <c r="L45">
        <v>129</v>
      </c>
    </row>
    <row r="46" spans="1:12">
      <c r="A46">
        <v>19</v>
      </c>
      <c r="B46" t="s">
        <v>18</v>
      </c>
      <c r="C46" t="s">
        <v>22</v>
      </c>
      <c r="D46">
        <v>27</v>
      </c>
      <c r="E46">
        <v>2023</v>
      </c>
      <c r="F46" t="s">
        <v>25</v>
      </c>
      <c r="G46">
        <v>212</v>
      </c>
      <c r="H46">
        <v>32</v>
      </c>
      <c r="I46">
        <v>9</v>
      </c>
      <c r="J46">
        <v>1707</v>
      </c>
      <c r="K46">
        <v>0.148</v>
      </c>
      <c r="L46">
        <v>253</v>
      </c>
    </row>
    <row r="47" spans="1:12">
      <c r="A47">
        <v>20</v>
      </c>
      <c r="B47" t="s">
        <v>19</v>
      </c>
      <c r="C47" t="s">
        <v>22</v>
      </c>
      <c r="D47">
        <v>27</v>
      </c>
      <c r="E47">
        <v>2023</v>
      </c>
      <c r="F47" t="s">
        <v>25</v>
      </c>
      <c r="G47">
        <v>90</v>
      </c>
      <c r="H47">
        <v>2</v>
      </c>
      <c r="I47">
        <v>3</v>
      </c>
      <c r="J47">
        <v>534</v>
      </c>
      <c r="K47">
        <v>0.178</v>
      </c>
      <c r="L47">
        <v>95</v>
      </c>
    </row>
    <row r="48" spans="1:12">
      <c r="A48">
        <v>21</v>
      </c>
      <c r="B48" t="s">
        <v>20</v>
      </c>
      <c r="C48" t="s">
        <v>22</v>
      </c>
      <c r="D48">
        <v>27</v>
      </c>
      <c r="E48">
        <v>2023</v>
      </c>
      <c r="F48" t="s">
        <v>25</v>
      </c>
      <c r="G48">
        <v>181</v>
      </c>
      <c r="H48">
        <v>6</v>
      </c>
      <c r="I48">
        <v>12</v>
      </c>
      <c r="J48">
        <v>877</v>
      </c>
      <c r="K48">
        <v>0.227</v>
      </c>
      <c r="L48">
        <v>199</v>
      </c>
    </row>
    <row r="49" spans="1:12">
      <c r="A49">
        <v>22</v>
      </c>
      <c r="B49" t="s">
        <v>21</v>
      </c>
      <c r="C49" t="s">
        <v>22</v>
      </c>
      <c r="D49">
        <v>27</v>
      </c>
      <c r="E49">
        <v>2023</v>
      </c>
      <c r="F49" t="s">
        <v>25</v>
      </c>
      <c r="G49">
        <v>238</v>
      </c>
      <c r="H49">
        <v>1</v>
      </c>
      <c r="I49">
        <v>47</v>
      </c>
      <c r="J49">
        <v>1387</v>
      </c>
      <c r="K49">
        <v>0.206</v>
      </c>
      <c r="L49">
        <v>286</v>
      </c>
    </row>
    <row r="50" spans="1:12">
      <c r="A50">
        <v>3</v>
      </c>
      <c r="B50" t="s">
        <v>12</v>
      </c>
      <c r="C50" t="s">
        <v>13</v>
      </c>
      <c r="D50">
        <v>27</v>
      </c>
      <c r="E50">
        <v>2023</v>
      </c>
      <c r="F50" t="s">
        <v>25</v>
      </c>
      <c r="G50">
        <v>8</v>
      </c>
      <c r="H50">
        <v>11</v>
      </c>
      <c r="I50">
        <v>1</v>
      </c>
      <c r="J50">
        <v>667</v>
      </c>
      <c r="K50">
        <v>0.03</v>
      </c>
      <c r="L50">
        <v>20</v>
      </c>
    </row>
    <row r="51" spans="1:12">
      <c r="A51">
        <v>6</v>
      </c>
      <c r="B51" t="s">
        <v>15</v>
      </c>
      <c r="C51" t="s">
        <v>13</v>
      </c>
      <c r="D51">
        <v>27</v>
      </c>
      <c r="E51">
        <v>2023</v>
      </c>
      <c r="F51" t="s">
        <v>25</v>
      </c>
      <c r="G51">
        <v>99</v>
      </c>
      <c r="H51">
        <v>21</v>
      </c>
      <c r="I51">
        <v>2</v>
      </c>
      <c r="J51">
        <v>1248</v>
      </c>
      <c r="K51">
        <v>0.098</v>
      </c>
      <c r="L51">
        <v>122</v>
      </c>
    </row>
    <row r="52" spans="1:12">
      <c r="A52">
        <v>11</v>
      </c>
      <c r="B52" t="s">
        <v>16</v>
      </c>
      <c r="C52" t="s">
        <v>13</v>
      </c>
      <c r="D52">
        <v>27</v>
      </c>
      <c r="E52">
        <v>2023</v>
      </c>
      <c r="F52" t="s">
        <v>25</v>
      </c>
      <c r="G52">
        <v>48</v>
      </c>
      <c r="H52">
        <v>18</v>
      </c>
      <c r="I52">
        <v>0</v>
      </c>
      <c r="J52">
        <v>1457</v>
      </c>
      <c r="K52">
        <v>0.045</v>
      </c>
      <c r="L52">
        <v>66</v>
      </c>
    </row>
    <row r="53" spans="1:12">
      <c r="A53">
        <v>18</v>
      </c>
      <c r="B53" t="s">
        <v>17</v>
      </c>
      <c r="C53" t="s">
        <v>13</v>
      </c>
      <c r="D53">
        <v>27</v>
      </c>
      <c r="E53">
        <v>2023</v>
      </c>
      <c r="F53" t="s">
        <v>25</v>
      </c>
      <c r="G53">
        <v>19</v>
      </c>
      <c r="H53">
        <v>5</v>
      </c>
      <c r="I53">
        <v>0</v>
      </c>
      <c r="J53">
        <v>701</v>
      </c>
      <c r="K53">
        <v>0.034</v>
      </c>
      <c r="L53">
        <v>24</v>
      </c>
    </row>
    <row r="54" spans="1:12">
      <c r="A54">
        <v>19</v>
      </c>
      <c r="B54" t="s">
        <v>18</v>
      </c>
      <c r="C54" t="s">
        <v>13</v>
      </c>
      <c r="D54">
        <v>27</v>
      </c>
      <c r="E54">
        <v>2023</v>
      </c>
      <c r="F54" t="s">
        <v>25</v>
      </c>
      <c r="G54">
        <v>71</v>
      </c>
      <c r="H54">
        <v>32</v>
      </c>
      <c r="I54">
        <v>2</v>
      </c>
      <c r="J54">
        <v>1568</v>
      </c>
      <c r="K54">
        <v>0.067</v>
      </c>
      <c r="L54">
        <v>105</v>
      </c>
    </row>
    <row r="55" spans="1:12">
      <c r="A55">
        <v>20</v>
      </c>
      <c r="B55" t="s">
        <v>19</v>
      </c>
      <c r="C55" t="s">
        <v>13</v>
      </c>
      <c r="D55">
        <v>27</v>
      </c>
      <c r="E55">
        <v>2023</v>
      </c>
      <c r="F55" t="s">
        <v>25</v>
      </c>
      <c r="G55">
        <v>8</v>
      </c>
      <c r="H55">
        <v>6</v>
      </c>
      <c r="I55">
        <v>1</v>
      </c>
      <c r="J55">
        <v>503</v>
      </c>
      <c r="K55">
        <v>0.03</v>
      </c>
      <c r="L55">
        <v>15</v>
      </c>
    </row>
    <row r="56" spans="1:12">
      <c r="A56">
        <v>21</v>
      </c>
      <c r="B56" t="s">
        <v>20</v>
      </c>
      <c r="C56" t="s">
        <v>13</v>
      </c>
      <c r="D56">
        <v>27</v>
      </c>
      <c r="E56">
        <v>2023</v>
      </c>
      <c r="F56" t="s">
        <v>25</v>
      </c>
      <c r="G56">
        <v>18</v>
      </c>
      <c r="H56">
        <v>9</v>
      </c>
      <c r="I56">
        <v>0</v>
      </c>
      <c r="J56">
        <v>779</v>
      </c>
      <c r="K56">
        <v>0.035</v>
      </c>
      <c r="L56">
        <v>27</v>
      </c>
    </row>
    <row r="57" spans="1:12">
      <c r="A57">
        <v>22</v>
      </c>
      <c r="B57" t="s">
        <v>21</v>
      </c>
      <c r="C57" t="s">
        <v>13</v>
      </c>
      <c r="D57">
        <v>27</v>
      </c>
      <c r="E57">
        <v>2023</v>
      </c>
      <c r="F57" t="s">
        <v>25</v>
      </c>
      <c r="G57">
        <v>17</v>
      </c>
      <c r="H57">
        <v>10</v>
      </c>
      <c r="I57">
        <v>0</v>
      </c>
      <c r="J57">
        <v>1241</v>
      </c>
      <c r="K57">
        <v>0.022</v>
      </c>
      <c r="L57">
        <v>27</v>
      </c>
    </row>
    <row r="58" spans="1:12">
      <c r="A58">
        <v>3</v>
      </c>
      <c r="B58" t="s">
        <v>12</v>
      </c>
      <c r="C58" t="s">
        <v>22</v>
      </c>
      <c r="D58">
        <v>27</v>
      </c>
      <c r="E58">
        <v>2022</v>
      </c>
      <c r="F58" t="s">
        <v>14</v>
      </c>
      <c r="G58">
        <v>138</v>
      </c>
      <c r="H58">
        <v>20</v>
      </c>
      <c r="I58">
        <v>8</v>
      </c>
      <c r="J58">
        <v>835</v>
      </c>
      <c r="K58">
        <v>0.199</v>
      </c>
      <c r="L58">
        <v>166</v>
      </c>
    </row>
    <row r="59" spans="1:12">
      <c r="A59">
        <v>6</v>
      </c>
      <c r="B59" t="s">
        <v>15</v>
      </c>
      <c r="C59" t="s">
        <v>22</v>
      </c>
      <c r="D59">
        <v>27</v>
      </c>
      <c r="E59">
        <v>2022</v>
      </c>
      <c r="F59" t="s">
        <v>14</v>
      </c>
      <c r="G59">
        <v>340</v>
      </c>
      <c r="H59">
        <v>73</v>
      </c>
      <c r="I59">
        <v>10</v>
      </c>
      <c r="J59">
        <v>1351</v>
      </c>
      <c r="K59">
        <v>0.313</v>
      </c>
      <c r="L59">
        <v>423</v>
      </c>
    </row>
    <row r="60" spans="1:12">
      <c r="A60">
        <v>11</v>
      </c>
      <c r="B60" t="s">
        <v>16</v>
      </c>
      <c r="C60" t="s">
        <v>22</v>
      </c>
      <c r="D60">
        <v>27</v>
      </c>
      <c r="E60">
        <v>2022</v>
      </c>
      <c r="F60" t="s">
        <v>14</v>
      </c>
      <c r="G60">
        <v>329</v>
      </c>
      <c r="H60">
        <v>75</v>
      </c>
      <c r="I60">
        <v>6</v>
      </c>
      <c r="J60">
        <v>1622</v>
      </c>
      <c r="K60">
        <v>0.253</v>
      </c>
      <c r="L60">
        <v>410</v>
      </c>
    </row>
    <row r="61" spans="1:12">
      <c r="A61">
        <v>18</v>
      </c>
      <c r="B61" t="s">
        <v>17</v>
      </c>
      <c r="C61" t="s">
        <v>22</v>
      </c>
      <c r="D61">
        <v>27</v>
      </c>
      <c r="E61">
        <v>2022</v>
      </c>
      <c r="F61" t="s">
        <v>14</v>
      </c>
      <c r="G61">
        <v>181</v>
      </c>
      <c r="H61">
        <v>4</v>
      </c>
      <c r="I61">
        <v>9</v>
      </c>
      <c r="J61">
        <v>894</v>
      </c>
      <c r="K61">
        <v>0.217</v>
      </c>
      <c r="L61">
        <v>194</v>
      </c>
    </row>
    <row r="62" spans="1:12">
      <c r="A62">
        <v>19</v>
      </c>
      <c r="B62" t="s">
        <v>18</v>
      </c>
      <c r="C62" t="s">
        <v>22</v>
      </c>
      <c r="D62">
        <v>27</v>
      </c>
      <c r="E62">
        <v>2022</v>
      </c>
      <c r="F62" t="s">
        <v>14</v>
      </c>
      <c r="G62">
        <v>466</v>
      </c>
      <c r="H62">
        <v>85</v>
      </c>
      <c r="I62">
        <v>16</v>
      </c>
      <c r="J62">
        <v>1735</v>
      </c>
      <c r="K62">
        <v>0.327</v>
      </c>
      <c r="L62">
        <v>567</v>
      </c>
    </row>
    <row r="63" spans="1:12">
      <c r="A63">
        <v>20</v>
      </c>
      <c r="B63" t="s">
        <v>19</v>
      </c>
      <c r="C63" t="s">
        <v>22</v>
      </c>
      <c r="D63">
        <v>27</v>
      </c>
      <c r="E63">
        <v>2022</v>
      </c>
      <c r="F63" t="s">
        <v>14</v>
      </c>
      <c r="G63">
        <v>148</v>
      </c>
      <c r="H63">
        <v>5</v>
      </c>
      <c r="I63">
        <v>4</v>
      </c>
      <c r="J63">
        <v>807</v>
      </c>
      <c r="K63">
        <v>0.195</v>
      </c>
      <c r="L63">
        <v>157</v>
      </c>
    </row>
    <row r="64" spans="1:12">
      <c r="A64">
        <v>21</v>
      </c>
      <c r="B64" t="s">
        <v>20</v>
      </c>
      <c r="C64" t="s">
        <v>22</v>
      </c>
      <c r="D64">
        <v>27</v>
      </c>
      <c r="E64">
        <v>2022</v>
      </c>
      <c r="F64" t="s">
        <v>14</v>
      </c>
      <c r="G64">
        <v>300</v>
      </c>
      <c r="H64">
        <v>12</v>
      </c>
      <c r="I64">
        <v>12</v>
      </c>
      <c r="J64">
        <v>969</v>
      </c>
      <c r="K64">
        <v>0.334</v>
      </c>
      <c r="L64">
        <v>324</v>
      </c>
    </row>
    <row r="65" spans="1:12">
      <c r="A65">
        <v>22</v>
      </c>
      <c r="B65" t="s">
        <v>21</v>
      </c>
      <c r="C65" t="s">
        <v>22</v>
      </c>
      <c r="D65">
        <v>27</v>
      </c>
      <c r="E65">
        <v>2022</v>
      </c>
      <c r="F65" t="s">
        <v>14</v>
      </c>
      <c r="G65">
        <v>464</v>
      </c>
      <c r="H65">
        <v>12</v>
      </c>
      <c r="I65">
        <v>16</v>
      </c>
      <c r="J65">
        <v>1816</v>
      </c>
      <c r="K65">
        <v>0.271</v>
      </c>
      <c r="L65">
        <v>492</v>
      </c>
    </row>
    <row r="66" spans="1:12">
      <c r="A66">
        <v>3</v>
      </c>
      <c r="B66" t="s">
        <v>12</v>
      </c>
      <c r="C66" t="s">
        <v>13</v>
      </c>
      <c r="D66">
        <v>27</v>
      </c>
      <c r="E66">
        <v>2022</v>
      </c>
      <c r="F66" t="s">
        <v>14</v>
      </c>
      <c r="G66">
        <v>9</v>
      </c>
      <c r="H66">
        <v>11</v>
      </c>
      <c r="I66">
        <v>0</v>
      </c>
      <c r="J66">
        <v>794</v>
      </c>
      <c r="K66">
        <v>0.025</v>
      </c>
      <c r="L66">
        <v>20</v>
      </c>
    </row>
    <row r="67" spans="1:12">
      <c r="A67">
        <v>6</v>
      </c>
      <c r="B67" t="s">
        <v>15</v>
      </c>
      <c r="C67" t="s">
        <v>13</v>
      </c>
      <c r="D67">
        <v>27</v>
      </c>
      <c r="E67">
        <v>2022</v>
      </c>
      <c r="F67" t="s">
        <v>14</v>
      </c>
      <c r="G67">
        <v>76</v>
      </c>
      <c r="H67">
        <v>19</v>
      </c>
      <c r="I67">
        <v>2</v>
      </c>
      <c r="J67">
        <v>1252</v>
      </c>
      <c r="K67">
        <v>0.077</v>
      </c>
      <c r="L67">
        <v>97</v>
      </c>
    </row>
    <row r="68" spans="1:12">
      <c r="A68">
        <v>11</v>
      </c>
      <c r="B68" t="s">
        <v>16</v>
      </c>
      <c r="C68" t="s">
        <v>13</v>
      </c>
      <c r="D68">
        <v>27</v>
      </c>
      <c r="E68">
        <v>2022</v>
      </c>
      <c r="F68" t="s">
        <v>14</v>
      </c>
      <c r="G68">
        <v>40</v>
      </c>
      <c r="H68">
        <v>17</v>
      </c>
      <c r="I68">
        <v>0</v>
      </c>
      <c r="J68">
        <v>1490</v>
      </c>
      <c r="K68">
        <v>0.038</v>
      </c>
      <c r="L68">
        <v>57</v>
      </c>
    </row>
    <row r="69" spans="1:12">
      <c r="A69">
        <v>18</v>
      </c>
      <c r="B69" t="s">
        <v>17</v>
      </c>
      <c r="C69" t="s">
        <v>13</v>
      </c>
      <c r="D69">
        <v>27</v>
      </c>
      <c r="E69">
        <v>2022</v>
      </c>
      <c r="F69" t="s">
        <v>14</v>
      </c>
      <c r="G69">
        <v>15</v>
      </c>
      <c r="H69">
        <v>7</v>
      </c>
      <c r="I69">
        <v>0</v>
      </c>
      <c r="J69">
        <v>833</v>
      </c>
      <c r="K69">
        <v>0.026</v>
      </c>
      <c r="L69">
        <v>22</v>
      </c>
    </row>
    <row r="70" spans="1:12">
      <c r="A70">
        <v>19</v>
      </c>
      <c r="B70" t="s">
        <v>18</v>
      </c>
      <c r="C70" t="s">
        <v>13</v>
      </c>
      <c r="D70">
        <v>27</v>
      </c>
      <c r="E70">
        <v>2022</v>
      </c>
      <c r="F70" t="s">
        <v>14</v>
      </c>
      <c r="G70">
        <v>51</v>
      </c>
      <c r="H70">
        <v>27</v>
      </c>
      <c r="I70">
        <v>0</v>
      </c>
      <c r="J70">
        <v>1518</v>
      </c>
      <c r="K70">
        <v>0.051</v>
      </c>
      <c r="L70">
        <v>78</v>
      </c>
    </row>
    <row r="71" spans="1:12">
      <c r="A71">
        <v>20</v>
      </c>
      <c r="B71" t="s">
        <v>19</v>
      </c>
      <c r="C71" t="s">
        <v>13</v>
      </c>
      <c r="D71">
        <v>27</v>
      </c>
      <c r="E71">
        <v>2022</v>
      </c>
      <c r="F71" t="s">
        <v>14</v>
      </c>
      <c r="G71">
        <v>12</v>
      </c>
      <c r="H71">
        <v>7</v>
      </c>
      <c r="I71">
        <v>0</v>
      </c>
      <c r="J71">
        <v>744</v>
      </c>
      <c r="K71">
        <v>0.026</v>
      </c>
      <c r="L71">
        <v>19</v>
      </c>
    </row>
    <row r="72" spans="1:12">
      <c r="A72">
        <v>21</v>
      </c>
      <c r="B72" t="s">
        <v>20</v>
      </c>
      <c r="C72" t="s">
        <v>13</v>
      </c>
      <c r="D72">
        <v>27</v>
      </c>
      <c r="E72">
        <v>2022</v>
      </c>
      <c r="F72" t="s">
        <v>14</v>
      </c>
      <c r="G72">
        <v>15</v>
      </c>
      <c r="H72">
        <v>6</v>
      </c>
      <c r="I72">
        <v>0</v>
      </c>
      <c r="J72">
        <v>756</v>
      </c>
      <c r="K72">
        <v>0.028</v>
      </c>
      <c r="L72">
        <v>21</v>
      </c>
    </row>
    <row r="73" spans="1:12">
      <c r="A73">
        <v>22</v>
      </c>
      <c r="B73" t="s">
        <v>21</v>
      </c>
      <c r="C73" t="s">
        <v>13</v>
      </c>
      <c r="D73">
        <v>27</v>
      </c>
      <c r="E73">
        <v>2022</v>
      </c>
      <c r="F73" t="s">
        <v>14</v>
      </c>
      <c r="G73">
        <v>17</v>
      </c>
      <c r="H73">
        <v>13</v>
      </c>
      <c r="I73">
        <v>3</v>
      </c>
      <c r="J73">
        <v>1680</v>
      </c>
      <c r="K73">
        <v>0.02</v>
      </c>
      <c r="L73">
        <v>33</v>
      </c>
    </row>
    <row r="74" spans="1:12">
      <c r="A74">
        <v>3</v>
      </c>
      <c r="B74" t="s">
        <v>12</v>
      </c>
      <c r="C74" t="s">
        <v>22</v>
      </c>
      <c r="D74">
        <v>27</v>
      </c>
      <c r="E74">
        <v>2021</v>
      </c>
      <c r="F74" t="s">
        <v>23</v>
      </c>
      <c r="G74">
        <v>30</v>
      </c>
      <c r="H74">
        <v>9</v>
      </c>
      <c r="I74">
        <v>1</v>
      </c>
      <c r="J74">
        <v>783</v>
      </c>
      <c r="K74">
        <v>0.051</v>
      </c>
      <c r="L74">
        <v>40</v>
      </c>
    </row>
    <row r="75" spans="1:12">
      <c r="A75">
        <v>6</v>
      </c>
      <c r="B75" t="s">
        <v>15</v>
      </c>
      <c r="C75" t="s">
        <v>22</v>
      </c>
      <c r="D75">
        <v>27</v>
      </c>
      <c r="E75">
        <v>2021</v>
      </c>
      <c r="F75" t="s">
        <v>23</v>
      </c>
      <c r="G75">
        <v>97</v>
      </c>
      <c r="H75">
        <v>16</v>
      </c>
      <c r="I75">
        <v>4</v>
      </c>
      <c r="J75">
        <v>1248</v>
      </c>
      <c r="K75">
        <v>0.094</v>
      </c>
      <c r="L75">
        <v>117</v>
      </c>
    </row>
    <row r="76" spans="1:12">
      <c r="A76">
        <v>11</v>
      </c>
      <c r="B76" t="s">
        <v>16</v>
      </c>
      <c r="C76" t="s">
        <v>22</v>
      </c>
      <c r="D76">
        <v>27</v>
      </c>
      <c r="E76">
        <v>2021</v>
      </c>
      <c r="F76" t="s">
        <v>23</v>
      </c>
      <c r="G76">
        <v>76</v>
      </c>
      <c r="H76">
        <v>28</v>
      </c>
      <c r="I76">
        <v>1</v>
      </c>
      <c r="J76">
        <v>1481</v>
      </c>
      <c r="K76">
        <v>0.071</v>
      </c>
      <c r="L76">
        <v>105</v>
      </c>
    </row>
    <row r="77" spans="1:12">
      <c r="A77">
        <v>18</v>
      </c>
      <c r="B77" t="s">
        <v>17</v>
      </c>
      <c r="C77" t="s">
        <v>22</v>
      </c>
      <c r="D77">
        <v>27</v>
      </c>
      <c r="E77">
        <v>2021</v>
      </c>
      <c r="F77" t="s">
        <v>23</v>
      </c>
      <c r="G77">
        <v>50</v>
      </c>
      <c r="H77">
        <v>0</v>
      </c>
      <c r="I77">
        <v>0</v>
      </c>
      <c r="J77">
        <v>828</v>
      </c>
      <c r="K77">
        <v>0.06</v>
      </c>
      <c r="L77">
        <v>50</v>
      </c>
    </row>
    <row r="78" spans="1:12">
      <c r="A78">
        <v>19</v>
      </c>
      <c r="B78" t="s">
        <v>18</v>
      </c>
      <c r="C78" t="s">
        <v>22</v>
      </c>
      <c r="D78">
        <v>27</v>
      </c>
      <c r="E78">
        <v>2021</v>
      </c>
      <c r="F78" t="s">
        <v>23</v>
      </c>
      <c r="G78">
        <v>89</v>
      </c>
      <c r="H78">
        <v>24</v>
      </c>
      <c r="I78">
        <v>2</v>
      </c>
      <c r="J78">
        <v>1496</v>
      </c>
      <c r="K78">
        <v>0.077</v>
      </c>
      <c r="L78">
        <v>115</v>
      </c>
    </row>
    <row r="79" spans="1:12">
      <c r="A79">
        <v>20</v>
      </c>
      <c r="B79" t="s">
        <v>19</v>
      </c>
      <c r="C79" t="s">
        <v>22</v>
      </c>
      <c r="D79">
        <v>27</v>
      </c>
      <c r="E79">
        <v>2021</v>
      </c>
      <c r="F79" t="s">
        <v>23</v>
      </c>
      <c r="G79">
        <v>29</v>
      </c>
      <c r="H79">
        <v>1</v>
      </c>
      <c r="I79">
        <v>0</v>
      </c>
      <c r="J79">
        <v>739</v>
      </c>
      <c r="K79">
        <v>0.041</v>
      </c>
      <c r="L79">
        <v>30</v>
      </c>
    </row>
    <row r="80" spans="1:12">
      <c r="A80">
        <v>21</v>
      </c>
      <c r="B80" t="s">
        <v>20</v>
      </c>
      <c r="C80" t="s">
        <v>22</v>
      </c>
      <c r="D80">
        <v>27</v>
      </c>
      <c r="E80">
        <v>2021</v>
      </c>
      <c r="F80" t="s">
        <v>23</v>
      </c>
      <c r="G80">
        <v>42</v>
      </c>
      <c r="H80">
        <v>4</v>
      </c>
      <c r="I80">
        <v>1</v>
      </c>
      <c r="J80">
        <v>734</v>
      </c>
      <c r="K80">
        <v>0.064</v>
      </c>
      <c r="L80">
        <v>47</v>
      </c>
    </row>
    <row r="81" spans="1:12">
      <c r="A81">
        <v>22</v>
      </c>
      <c r="B81" t="s">
        <v>21</v>
      </c>
      <c r="C81" t="s">
        <v>22</v>
      </c>
      <c r="D81">
        <v>27</v>
      </c>
      <c r="E81">
        <v>2021</v>
      </c>
      <c r="F81" t="s">
        <v>23</v>
      </c>
      <c r="G81">
        <v>94</v>
      </c>
      <c r="H81">
        <v>4</v>
      </c>
      <c r="I81">
        <v>4</v>
      </c>
      <c r="J81">
        <v>1676</v>
      </c>
      <c r="K81">
        <v>0.061</v>
      </c>
      <c r="L81">
        <v>102</v>
      </c>
    </row>
    <row r="82" spans="1:12">
      <c r="A82">
        <v>3</v>
      </c>
      <c r="B82" t="s">
        <v>12</v>
      </c>
      <c r="C82" t="s">
        <v>13</v>
      </c>
      <c r="D82">
        <v>27</v>
      </c>
      <c r="E82">
        <v>2021</v>
      </c>
      <c r="F82" t="s">
        <v>23</v>
      </c>
      <c r="G82">
        <v>14</v>
      </c>
      <c r="H82">
        <v>3</v>
      </c>
      <c r="I82">
        <v>0</v>
      </c>
      <c r="J82">
        <v>760</v>
      </c>
      <c r="K82">
        <v>0.022</v>
      </c>
      <c r="L82">
        <v>17</v>
      </c>
    </row>
    <row r="83" spans="1:12">
      <c r="A83">
        <v>6</v>
      </c>
      <c r="B83" t="s">
        <v>15</v>
      </c>
      <c r="C83" t="s">
        <v>13</v>
      </c>
      <c r="D83">
        <v>27</v>
      </c>
      <c r="E83">
        <v>2021</v>
      </c>
      <c r="F83" t="s">
        <v>23</v>
      </c>
      <c r="G83">
        <v>86</v>
      </c>
      <c r="H83">
        <v>23</v>
      </c>
      <c r="I83">
        <v>4</v>
      </c>
      <c r="J83">
        <v>1239</v>
      </c>
      <c r="K83">
        <v>0.091</v>
      </c>
      <c r="L83">
        <v>113</v>
      </c>
    </row>
    <row r="84" spans="1:12">
      <c r="A84">
        <v>11</v>
      </c>
      <c r="B84" t="s">
        <v>16</v>
      </c>
      <c r="C84" t="s">
        <v>13</v>
      </c>
      <c r="D84">
        <v>27</v>
      </c>
      <c r="E84">
        <v>2021</v>
      </c>
      <c r="F84" t="s">
        <v>23</v>
      </c>
      <c r="G84">
        <v>46</v>
      </c>
      <c r="H84">
        <v>28</v>
      </c>
      <c r="I84">
        <v>0</v>
      </c>
      <c r="J84">
        <v>1472</v>
      </c>
      <c r="K84">
        <v>0.05</v>
      </c>
      <c r="L84">
        <v>74</v>
      </c>
    </row>
    <row r="85" spans="1:12">
      <c r="A85">
        <v>18</v>
      </c>
      <c r="B85" t="s">
        <v>17</v>
      </c>
      <c r="C85" t="s">
        <v>13</v>
      </c>
      <c r="D85">
        <v>27</v>
      </c>
      <c r="E85">
        <v>2021</v>
      </c>
      <c r="F85" t="s">
        <v>23</v>
      </c>
      <c r="G85">
        <v>15</v>
      </c>
      <c r="H85">
        <v>2</v>
      </c>
      <c r="I85">
        <v>0</v>
      </c>
      <c r="J85">
        <v>769</v>
      </c>
      <c r="K85">
        <v>0.022</v>
      </c>
      <c r="L85">
        <v>17</v>
      </c>
    </row>
    <row r="86" spans="1:12">
      <c r="A86">
        <v>19</v>
      </c>
      <c r="B86" t="s">
        <v>18</v>
      </c>
      <c r="C86" t="s">
        <v>13</v>
      </c>
      <c r="D86">
        <v>27</v>
      </c>
      <c r="E86">
        <v>2021</v>
      </c>
      <c r="F86" t="s">
        <v>23</v>
      </c>
      <c r="G86">
        <v>30</v>
      </c>
      <c r="H86">
        <v>23</v>
      </c>
      <c r="I86">
        <v>2</v>
      </c>
      <c r="J86">
        <v>1364</v>
      </c>
      <c r="K86">
        <v>0.04</v>
      </c>
      <c r="L86">
        <v>55</v>
      </c>
    </row>
    <row r="87" spans="1:12">
      <c r="A87">
        <v>20</v>
      </c>
      <c r="B87" t="s">
        <v>19</v>
      </c>
      <c r="C87" t="s">
        <v>13</v>
      </c>
      <c r="D87">
        <v>27</v>
      </c>
      <c r="E87">
        <v>2021</v>
      </c>
      <c r="F87" t="s">
        <v>23</v>
      </c>
      <c r="G87">
        <v>10</v>
      </c>
      <c r="H87">
        <v>9</v>
      </c>
      <c r="I87">
        <v>0</v>
      </c>
      <c r="J87">
        <v>693</v>
      </c>
      <c r="K87">
        <v>0.027</v>
      </c>
      <c r="L87">
        <v>19</v>
      </c>
    </row>
    <row r="88" spans="1:12">
      <c r="A88">
        <v>21</v>
      </c>
      <c r="B88" t="s">
        <v>20</v>
      </c>
      <c r="C88" t="s">
        <v>13</v>
      </c>
      <c r="D88">
        <v>27</v>
      </c>
      <c r="E88">
        <v>2021</v>
      </c>
      <c r="F88" t="s">
        <v>23</v>
      </c>
      <c r="G88">
        <v>6</v>
      </c>
      <c r="H88">
        <v>11</v>
      </c>
      <c r="I88">
        <v>0</v>
      </c>
      <c r="J88">
        <v>658</v>
      </c>
      <c r="K88">
        <v>0.026</v>
      </c>
      <c r="L88">
        <v>17</v>
      </c>
    </row>
    <row r="89" spans="1:12">
      <c r="A89">
        <v>22</v>
      </c>
      <c r="B89" t="s">
        <v>21</v>
      </c>
      <c r="C89" t="s">
        <v>13</v>
      </c>
      <c r="D89">
        <v>27</v>
      </c>
      <c r="E89">
        <v>2021</v>
      </c>
      <c r="F89" t="s">
        <v>23</v>
      </c>
      <c r="G89">
        <v>20</v>
      </c>
      <c r="H89">
        <v>11</v>
      </c>
      <c r="I89">
        <v>0</v>
      </c>
      <c r="J89">
        <v>1500</v>
      </c>
      <c r="K89">
        <v>0.021</v>
      </c>
      <c r="L89">
        <v>31</v>
      </c>
    </row>
    <row r="90" spans="1:14">
      <c r="A90">
        <v>3</v>
      </c>
      <c r="B90" t="s">
        <v>12</v>
      </c>
      <c r="C90" t="s">
        <v>22</v>
      </c>
      <c r="D90">
        <v>27</v>
      </c>
      <c r="E90">
        <v>2020</v>
      </c>
      <c r="F90" t="s">
        <v>24</v>
      </c>
      <c r="G90" s="1">
        <v>63</v>
      </c>
      <c r="H90" s="1">
        <v>153</v>
      </c>
      <c r="I90" s="1">
        <v>2</v>
      </c>
      <c r="J90" s="1"/>
      <c r="K90" s="1"/>
      <c r="L90" s="1">
        <v>218</v>
      </c>
      <c r="N90" s="1"/>
    </row>
    <row r="91" spans="1:12">
      <c r="A91">
        <v>6</v>
      </c>
      <c r="B91" t="s">
        <v>15</v>
      </c>
      <c r="C91" t="s">
        <v>22</v>
      </c>
      <c r="D91">
        <v>27</v>
      </c>
      <c r="E91">
        <v>2020</v>
      </c>
      <c r="F91" t="s">
        <v>24</v>
      </c>
      <c r="G91" s="1">
        <v>266</v>
      </c>
      <c r="H91" s="1">
        <v>442</v>
      </c>
      <c r="I91" s="1">
        <v>17</v>
      </c>
      <c r="J91" s="1"/>
      <c r="K91" s="1"/>
      <c r="L91" s="1">
        <v>725</v>
      </c>
    </row>
    <row r="92" spans="1:12">
      <c r="A92">
        <v>11</v>
      </c>
      <c r="B92" t="s">
        <v>16</v>
      </c>
      <c r="C92" t="s">
        <v>22</v>
      </c>
      <c r="D92">
        <v>27</v>
      </c>
      <c r="E92">
        <v>2020</v>
      </c>
      <c r="F92" t="s">
        <v>24</v>
      </c>
      <c r="G92" s="1">
        <v>238</v>
      </c>
      <c r="H92" s="1">
        <v>442</v>
      </c>
      <c r="I92" s="1">
        <v>9</v>
      </c>
      <c r="J92" s="1"/>
      <c r="K92" s="1"/>
      <c r="L92" s="1">
        <v>689</v>
      </c>
    </row>
    <row r="93" spans="1:12">
      <c r="A93">
        <v>18</v>
      </c>
      <c r="B93" t="s">
        <v>17</v>
      </c>
      <c r="C93" t="s">
        <v>22</v>
      </c>
      <c r="D93">
        <v>27</v>
      </c>
      <c r="E93">
        <v>2020</v>
      </c>
      <c r="F93" t="s">
        <v>24</v>
      </c>
      <c r="G93" s="1">
        <v>56</v>
      </c>
      <c r="H93" s="1">
        <v>99</v>
      </c>
      <c r="I93" s="1">
        <v>4</v>
      </c>
      <c r="J93" s="1"/>
      <c r="K93" s="1"/>
      <c r="L93" s="1">
        <v>159</v>
      </c>
    </row>
    <row r="94" spans="1:12">
      <c r="A94">
        <v>19</v>
      </c>
      <c r="B94" t="s">
        <v>18</v>
      </c>
      <c r="C94" t="s">
        <v>22</v>
      </c>
      <c r="D94">
        <v>27</v>
      </c>
      <c r="E94">
        <v>2020</v>
      </c>
      <c r="F94" t="s">
        <v>24</v>
      </c>
      <c r="G94" s="1">
        <v>180</v>
      </c>
      <c r="H94" s="1">
        <v>343</v>
      </c>
      <c r="I94" s="1">
        <v>8</v>
      </c>
      <c r="J94" s="1"/>
      <c r="K94" s="1"/>
      <c r="L94" s="1">
        <v>531</v>
      </c>
    </row>
    <row r="95" spans="1:12">
      <c r="A95">
        <v>20</v>
      </c>
      <c r="B95" t="s">
        <v>19</v>
      </c>
      <c r="C95" t="s">
        <v>22</v>
      </c>
      <c r="D95">
        <v>27</v>
      </c>
      <c r="E95">
        <v>2020</v>
      </c>
      <c r="F95" t="s">
        <v>24</v>
      </c>
      <c r="G95" s="1">
        <v>50</v>
      </c>
      <c r="H95" s="1">
        <v>105</v>
      </c>
      <c r="I95" s="1">
        <v>0</v>
      </c>
      <c r="J95" s="1"/>
      <c r="K95" s="1"/>
      <c r="L95" s="1">
        <v>155</v>
      </c>
    </row>
    <row r="96" spans="1:12">
      <c r="A96">
        <v>21</v>
      </c>
      <c r="B96" t="s">
        <v>20</v>
      </c>
      <c r="C96" t="s">
        <v>22</v>
      </c>
      <c r="D96">
        <v>27</v>
      </c>
      <c r="E96">
        <v>2020</v>
      </c>
      <c r="F96" t="s">
        <v>24</v>
      </c>
      <c r="G96" s="1">
        <v>50</v>
      </c>
      <c r="H96" s="1">
        <v>95</v>
      </c>
      <c r="I96" s="1">
        <v>1</v>
      </c>
      <c r="J96" s="1"/>
      <c r="K96" s="1"/>
      <c r="L96" s="1">
        <v>146</v>
      </c>
    </row>
    <row r="97" spans="1:12">
      <c r="A97">
        <v>22</v>
      </c>
      <c r="B97" t="s">
        <v>21</v>
      </c>
      <c r="C97" t="s">
        <v>22</v>
      </c>
      <c r="D97">
        <v>27</v>
      </c>
      <c r="E97">
        <v>2020</v>
      </c>
      <c r="F97" t="s">
        <v>24</v>
      </c>
      <c r="G97" s="1">
        <v>117</v>
      </c>
      <c r="H97" s="1">
        <v>251</v>
      </c>
      <c r="I97" s="1">
        <v>3</v>
      </c>
      <c r="J97" s="1"/>
      <c r="K97" s="1"/>
      <c r="L97" s="1">
        <v>371</v>
      </c>
    </row>
    <row r="98" spans="1:12">
      <c r="A98">
        <v>3</v>
      </c>
      <c r="B98" t="s">
        <v>12</v>
      </c>
      <c r="C98" t="s">
        <v>13</v>
      </c>
      <c r="D98">
        <v>27</v>
      </c>
      <c r="E98">
        <v>2020</v>
      </c>
      <c r="F98" t="s">
        <v>24</v>
      </c>
      <c r="G98" s="1">
        <v>22</v>
      </c>
      <c r="H98" s="1">
        <v>21</v>
      </c>
      <c r="I98" s="1">
        <v>1</v>
      </c>
      <c r="J98" s="1"/>
      <c r="K98" s="1"/>
      <c r="L98" s="1">
        <v>44</v>
      </c>
    </row>
    <row r="99" spans="1:12">
      <c r="A99">
        <v>6</v>
      </c>
      <c r="B99" t="s">
        <v>15</v>
      </c>
      <c r="C99" t="s">
        <v>13</v>
      </c>
      <c r="D99">
        <v>27</v>
      </c>
      <c r="E99">
        <v>2020</v>
      </c>
      <c r="F99" t="s">
        <v>24</v>
      </c>
      <c r="G99" s="1">
        <v>73</v>
      </c>
      <c r="H99" s="1">
        <v>114</v>
      </c>
      <c r="I99" s="1">
        <v>3</v>
      </c>
      <c r="J99" s="1"/>
      <c r="K99" s="1"/>
      <c r="L99" s="1">
        <v>190</v>
      </c>
    </row>
    <row r="100" spans="1:12">
      <c r="A100">
        <v>11</v>
      </c>
      <c r="B100" t="s">
        <v>16</v>
      </c>
      <c r="C100" t="s">
        <v>13</v>
      </c>
      <c r="D100">
        <v>27</v>
      </c>
      <c r="E100">
        <v>2020</v>
      </c>
      <c r="F100" t="s">
        <v>24</v>
      </c>
      <c r="G100" s="1">
        <v>39</v>
      </c>
      <c r="H100" s="1">
        <v>41</v>
      </c>
      <c r="I100" s="1">
        <v>3</v>
      </c>
      <c r="J100" s="1"/>
      <c r="K100" s="1"/>
      <c r="L100" s="1">
        <v>83</v>
      </c>
    </row>
    <row r="101" spans="1:12">
      <c r="A101">
        <v>18</v>
      </c>
      <c r="B101" t="s">
        <v>17</v>
      </c>
      <c r="C101" t="s">
        <v>13</v>
      </c>
      <c r="D101">
        <v>27</v>
      </c>
      <c r="E101">
        <v>2020</v>
      </c>
      <c r="F101" t="s">
        <v>24</v>
      </c>
      <c r="G101" s="1">
        <v>13</v>
      </c>
      <c r="H101" s="1">
        <v>33</v>
      </c>
      <c r="I101" s="1">
        <v>0</v>
      </c>
      <c r="J101" s="1"/>
      <c r="K101" s="1"/>
      <c r="L101" s="1">
        <v>46</v>
      </c>
    </row>
    <row r="102" spans="1:12">
      <c r="A102">
        <v>19</v>
      </c>
      <c r="B102" t="s">
        <v>18</v>
      </c>
      <c r="C102" t="s">
        <v>13</v>
      </c>
      <c r="D102">
        <v>27</v>
      </c>
      <c r="E102">
        <v>2020</v>
      </c>
      <c r="F102" t="s">
        <v>24</v>
      </c>
      <c r="G102" s="1">
        <v>53</v>
      </c>
      <c r="H102" s="1">
        <v>76</v>
      </c>
      <c r="I102" s="1">
        <v>0</v>
      </c>
      <c r="J102" s="1"/>
      <c r="K102" s="1"/>
      <c r="L102" s="1">
        <v>129</v>
      </c>
    </row>
    <row r="103" spans="1:12">
      <c r="A103">
        <v>20</v>
      </c>
      <c r="B103" t="s">
        <v>19</v>
      </c>
      <c r="C103" t="s">
        <v>13</v>
      </c>
      <c r="D103">
        <v>27</v>
      </c>
      <c r="E103">
        <v>2020</v>
      </c>
      <c r="F103" t="s">
        <v>24</v>
      </c>
      <c r="G103" s="1">
        <v>20</v>
      </c>
      <c r="H103" s="1">
        <v>41</v>
      </c>
      <c r="I103" s="1">
        <v>0</v>
      </c>
      <c r="J103" s="1"/>
      <c r="K103" s="1"/>
      <c r="L103" s="1">
        <v>61</v>
      </c>
    </row>
    <row r="104" spans="1:12">
      <c r="A104">
        <v>21</v>
      </c>
      <c r="B104" t="s">
        <v>20</v>
      </c>
      <c r="C104" t="s">
        <v>13</v>
      </c>
      <c r="D104">
        <v>27</v>
      </c>
      <c r="E104">
        <v>2020</v>
      </c>
      <c r="F104" t="s">
        <v>24</v>
      </c>
      <c r="G104" s="1">
        <v>13</v>
      </c>
      <c r="H104" s="1">
        <v>30</v>
      </c>
      <c r="I104" s="1">
        <v>0</v>
      </c>
      <c r="J104" s="1"/>
      <c r="K104" s="1"/>
      <c r="L104" s="1">
        <v>43</v>
      </c>
    </row>
    <row r="105" spans="1:12">
      <c r="A105">
        <v>22</v>
      </c>
      <c r="B105" t="s">
        <v>21</v>
      </c>
      <c r="C105" t="s">
        <v>13</v>
      </c>
      <c r="D105">
        <v>27</v>
      </c>
      <c r="E105">
        <v>2020</v>
      </c>
      <c r="F105" t="s">
        <v>24</v>
      </c>
      <c r="G105" s="1">
        <v>44</v>
      </c>
      <c r="H105" s="1">
        <v>91</v>
      </c>
      <c r="I105" s="1">
        <v>0</v>
      </c>
      <c r="J105" s="1"/>
      <c r="K105" s="1"/>
      <c r="L105" s="1">
        <v>135</v>
      </c>
    </row>
    <row r="106" spans="1:12">
      <c r="A106">
        <v>3</v>
      </c>
      <c r="B106" t="s">
        <v>12</v>
      </c>
      <c r="C106" t="s">
        <v>22</v>
      </c>
      <c r="D106">
        <v>27</v>
      </c>
      <c r="E106">
        <v>2019</v>
      </c>
      <c r="F106" t="s">
        <v>25</v>
      </c>
      <c r="G106">
        <v>99</v>
      </c>
      <c r="H106">
        <v>0</v>
      </c>
      <c r="I106">
        <v>0</v>
      </c>
      <c r="L106" s="1">
        <v>99</v>
      </c>
    </row>
    <row r="107" spans="1:12">
      <c r="A107">
        <v>6</v>
      </c>
      <c r="B107" t="s">
        <v>15</v>
      </c>
      <c r="C107" t="s">
        <v>22</v>
      </c>
      <c r="D107">
        <v>27</v>
      </c>
      <c r="E107">
        <v>2019</v>
      </c>
      <c r="F107" t="s">
        <v>25</v>
      </c>
      <c r="G107">
        <v>140</v>
      </c>
      <c r="H107">
        <v>2</v>
      </c>
      <c r="I107">
        <v>0</v>
      </c>
      <c r="L107" s="1">
        <v>142</v>
      </c>
    </row>
    <row r="108" spans="1:12">
      <c r="A108">
        <v>11</v>
      </c>
      <c r="B108" t="s">
        <v>16</v>
      </c>
      <c r="C108" t="s">
        <v>22</v>
      </c>
      <c r="D108">
        <v>27</v>
      </c>
      <c r="E108">
        <v>2019</v>
      </c>
      <c r="F108" t="s">
        <v>25</v>
      </c>
      <c r="G108">
        <v>79</v>
      </c>
      <c r="H108">
        <v>20</v>
      </c>
      <c r="I108">
        <v>0</v>
      </c>
      <c r="L108" s="1">
        <v>99</v>
      </c>
    </row>
    <row r="109" spans="1:12">
      <c r="A109">
        <v>18</v>
      </c>
      <c r="B109" t="s">
        <v>17</v>
      </c>
      <c r="C109" t="s">
        <v>22</v>
      </c>
      <c r="D109">
        <v>27</v>
      </c>
      <c r="E109">
        <v>2019</v>
      </c>
      <c r="F109" t="s">
        <v>25</v>
      </c>
      <c r="G109">
        <v>97</v>
      </c>
      <c r="H109">
        <v>2</v>
      </c>
      <c r="I109">
        <v>0</v>
      </c>
      <c r="L109" s="1">
        <v>99</v>
      </c>
    </row>
    <row r="110" spans="1:12">
      <c r="A110">
        <v>19</v>
      </c>
      <c r="B110" t="s">
        <v>18</v>
      </c>
      <c r="C110" t="s">
        <v>22</v>
      </c>
      <c r="D110">
        <v>27</v>
      </c>
      <c r="E110">
        <v>2019</v>
      </c>
      <c r="F110" t="s">
        <v>25</v>
      </c>
      <c r="G110">
        <v>192</v>
      </c>
      <c r="H110">
        <v>1</v>
      </c>
      <c r="I110">
        <v>0</v>
      </c>
      <c r="L110" s="1">
        <v>193</v>
      </c>
    </row>
    <row r="111" spans="1:12">
      <c r="A111">
        <v>20</v>
      </c>
      <c r="B111" t="s">
        <v>19</v>
      </c>
      <c r="C111" t="s">
        <v>22</v>
      </c>
      <c r="D111">
        <v>27</v>
      </c>
      <c r="E111">
        <v>2019</v>
      </c>
      <c r="F111" t="s">
        <v>25</v>
      </c>
      <c r="G111">
        <v>122</v>
      </c>
      <c r="H111">
        <v>0</v>
      </c>
      <c r="I111">
        <v>0</v>
      </c>
      <c r="L111" s="1">
        <v>122</v>
      </c>
    </row>
    <row r="112" spans="1:12">
      <c r="A112">
        <v>21</v>
      </c>
      <c r="B112" t="s">
        <v>20</v>
      </c>
      <c r="C112" t="s">
        <v>22</v>
      </c>
      <c r="D112">
        <v>27</v>
      </c>
      <c r="E112">
        <v>2019</v>
      </c>
      <c r="F112" t="s">
        <v>25</v>
      </c>
      <c r="G112">
        <v>95</v>
      </c>
      <c r="H112">
        <v>10</v>
      </c>
      <c r="I112">
        <v>0</v>
      </c>
      <c r="L112" s="1">
        <v>105</v>
      </c>
    </row>
    <row r="113" spans="1:12">
      <c r="A113">
        <v>22</v>
      </c>
      <c r="B113" t="s">
        <v>21</v>
      </c>
      <c r="C113" t="s">
        <v>22</v>
      </c>
      <c r="D113">
        <v>27</v>
      </c>
      <c r="E113">
        <v>2019</v>
      </c>
      <c r="F113" t="s">
        <v>25</v>
      </c>
      <c r="G113">
        <v>371</v>
      </c>
      <c r="H113">
        <v>0</v>
      </c>
      <c r="I113">
        <v>0</v>
      </c>
      <c r="L113" s="1">
        <v>371</v>
      </c>
    </row>
    <row r="114" spans="1:12">
      <c r="A114">
        <v>3</v>
      </c>
      <c r="B114" t="s">
        <v>12</v>
      </c>
      <c r="C114" t="s">
        <v>13</v>
      </c>
      <c r="D114">
        <v>27</v>
      </c>
      <c r="E114">
        <v>2019</v>
      </c>
      <c r="F114" t="s">
        <v>25</v>
      </c>
      <c r="G114">
        <v>21</v>
      </c>
      <c r="H114">
        <v>0</v>
      </c>
      <c r="I114">
        <v>0</v>
      </c>
      <c r="L114" s="1">
        <v>21</v>
      </c>
    </row>
    <row r="115" spans="1:12">
      <c r="A115">
        <v>6</v>
      </c>
      <c r="B115" t="s">
        <v>15</v>
      </c>
      <c r="C115" t="s">
        <v>13</v>
      </c>
      <c r="D115">
        <v>27</v>
      </c>
      <c r="E115">
        <v>2019</v>
      </c>
      <c r="F115" t="s">
        <v>25</v>
      </c>
      <c r="G115">
        <v>104</v>
      </c>
      <c r="H115">
        <v>2</v>
      </c>
      <c r="I115">
        <v>0</v>
      </c>
      <c r="L115" s="1">
        <v>106</v>
      </c>
    </row>
    <row r="116" spans="1:12">
      <c r="A116">
        <v>11</v>
      </c>
      <c r="B116" t="s">
        <v>16</v>
      </c>
      <c r="C116" t="s">
        <v>13</v>
      </c>
      <c r="D116">
        <v>27</v>
      </c>
      <c r="E116">
        <v>2019</v>
      </c>
      <c r="F116" t="s">
        <v>25</v>
      </c>
      <c r="G116">
        <v>16</v>
      </c>
      <c r="H116">
        <v>3</v>
      </c>
      <c r="I116">
        <v>0</v>
      </c>
      <c r="L116" s="1">
        <v>19</v>
      </c>
    </row>
    <row r="117" spans="1:12">
      <c r="A117">
        <v>18</v>
      </c>
      <c r="B117" t="s">
        <v>17</v>
      </c>
      <c r="C117" t="s">
        <v>13</v>
      </c>
      <c r="D117">
        <v>27</v>
      </c>
      <c r="E117">
        <v>2019</v>
      </c>
      <c r="F117" t="s">
        <v>25</v>
      </c>
      <c r="G117">
        <v>30</v>
      </c>
      <c r="H117">
        <v>2</v>
      </c>
      <c r="I117">
        <v>0</v>
      </c>
      <c r="L117" s="1">
        <v>32</v>
      </c>
    </row>
    <row r="118" spans="1:12">
      <c r="A118">
        <v>19</v>
      </c>
      <c r="B118" t="s">
        <v>18</v>
      </c>
      <c r="C118" t="s">
        <v>13</v>
      </c>
      <c r="D118">
        <v>27</v>
      </c>
      <c r="E118">
        <v>2019</v>
      </c>
      <c r="F118" t="s">
        <v>25</v>
      </c>
      <c r="G118">
        <v>37</v>
      </c>
      <c r="H118">
        <v>4</v>
      </c>
      <c r="I118">
        <v>0</v>
      </c>
      <c r="L118" s="1">
        <v>41</v>
      </c>
    </row>
    <row r="119" spans="1:12">
      <c r="A119">
        <v>20</v>
      </c>
      <c r="B119" t="s">
        <v>19</v>
      </c>
      <c r="C119" t="s">
        <v>13</v>
      </c>
      <c r="D119">
        <v>27</v>
      </c>
      <c r="E119">
        <v>2019</v>
      </c>
      <c r="F119" t="s">
        <v>25</v>
      </c>
      <c r="G119">
        <v>36</v>
      </c>
      <c r="H119">
        <v>2</v>
      </c>
      <c r="I119">
        <v>0</v>
      </c>
      <c r="L119" s="1">
        <v>38</v>
      </c>
    </row>
    <row r="120" spans="1:12">
      <c r="A120">
        <v>21</v>
      </c>
      <c r="B120" t="s">
        <v>20</v>
      </c>
      <c r="C120" t="s">
        <v>13</v>
      </c>
      <c r="D120">
        <v>27</v>
      </c>
      <c r="E120">
        <v>2019</v>
      </c>
      <c r="F120" t="s">
        <v>25</v>
      </c>
      <c r="G120">
        <v>21</v>
      </c>
      <c r="H120">
        <v>1</v>
      </c>
      <c r="I120">
        <v>0</v>
      </c>
      <c r="L120" s="1">
        <v>22</v>
      </c>
    </row>
    <row r="121" spans="1:12">
      <c r="A121">
        <v>22</v>
      </c>
      <c r="B121" t="s">
        <v>21</v>
      </c>
      <c r="C121" t="s">
        <v>13</v>
      </c>
      <c r="D121">
        <v>27</v>
      </c>
      <c r="E121">
        <v>2019</v>
      </c>
      <c r="F121" t="s">
        <v>25</v>
      </c>
      <c r="G121">
        <v>29</v>
      </c>
      <c r="H121">
        <v>10</v>
      </c>
      <c r="I121">
        <v>0</v>
      </c>
      <c r="L121" s="1">
        <v>39</v>
      </c>
    </row>
    <row r="122" spans="1:12">
      <c r="A122">
        <v>3</v>
      </c>
      <c r="B122" t="s">
        <v>12</v>
      </c>
      <c r="C122" t="s">
        <v>22</v>
      </c>
      <c r="D122">
        <v>27</v>
      </c>
      <c r="E122">
        <v>2018</v>
      </c>
      <c r="F122" t="s">
        <v>14</v>
      </c>
      <c r="G122">
        <v>296</v>
      </c>
      <c r="H122">
        <v>7</v>
      </c>
      <c r="I122">
        <v>2</v>
      </c>
      <c r="L122" s="1">
        <v>305</v>
      </c>
    </row>
    <row r="123" spans="1:12">
      <c r="A123">
        <v>6</v>
      </c>
      <c r="B123" t="s">
        <v>15</v>
      </c>
      <c r="C123" t="s">
        <v>22</v>
      </c>
      <c r="D123">
        <v>27</v>
      </c>
      <c r="E123">
        <v>2018</v>
      </c>
      <c r="F123" t="s">
        <v>14</v>
      </c>
      <c r="G123">
        <v>382</v>
      </c>
      <c r="H123">
        <v>10</v>
      </c>
      <c r="I123">
        <v>5</v>
      </c>
      <c r="L123" s="1">
        <v>397</v>
      </c>
    </row>
    <row r="124" spans="1:12">
      <c r="A124">
        <v>11</v>
      </c>
      <c r="B124" t="s">
        <v>16</v>
      </c>
      <c r="C124" t="s">
        <v>22</v>
      </c>
      <c r="D124">
        <v>27</v>
      </c>
      <c r="E124">
        <v>2018</v>
      </c>
      <c r="F124" t="s">
        <v>14</v>
      </c>
      <c r="G124">
        <v>366</v>
      </c>
      <c r="H124">
        <v>8</v>
      </c>
      <c r="I124">
        <v>4</v>
      </c>
      <c r="L124" s="1">
        <v>378</v>
      </c>
    </row>
    <row r="125" spans="1:12">
      <c r="A125">
        <v>18</v>
      </c>
      <c r="B125" t="s">
        <v>17</v>
      </c>
      <c r="C125" t="s">
        <v>22</v>
      </c>
      <c r="D125">
        <v>27</v>
      </c>
      <c r="E125">
        <v>2018</v>
      </c>
      <c r="F125" t="s">
        <v>14</v>
      </c>
      <c r="G125">
        <v>292</v>
      </c>
      <c r="H125">
        <v>7</v>
      </c>
      <c r="I125">
        <v>3</v>
      </c>
      <c r="L125" s="1">
        <v>302</v>
      </c>
    </row>
    <row r="126" spans="1:12">
      <c r="A126">
        <v>19</v>
      </c>
      <c r="B126" t="s">
        <v>18</v>
      </c>
      <c r="C126" t="s">
        <v>22</v>
      </c>
      <c r="D126">
        <v>27</v>
      </c>
      <c r="E126">
        <v>2018</v>
      </c>
      <c r="F126" t="s">
        <v>14</v>
      </c>
      <c r="G126">
        <v>586</v>
      </c>
      <c r="H126">
        <v>16</v>
      </c>
      <c r="I126">
        <v>4</v>
      </c>
      <c r="L126" s="1">
        <v>606</v>
      </c>
    </row>
    <row r="127" spans="1:12">
      <c r="A127">
        <v>20</v>
      </c>
      <c r="B127" t="s">
        <v>19</v>
      </c>
      <c r="C127" t="s">
        <v>22</v>
      </c>
      <c r="D127">
        <v>27</v>
      </c>
      <c r="E127">
        <v>2018</v>
      </c>
      <c r="F127" t="s">
        <v>14</v>
      </c>
      <c r="G127">
        <v>357</v>
      </c>
      <c r="H127">
        <v>8</v>
      </c>
      <c r="I127">
        <v>2</v>
      </c>
      <c r="L127" s="1">
        <v>367</v>
      </c>
    </row>
    <row r="128" spans="1:12">
      <c r="A128">
        <v>21</v>
      </c>
      <c r="B128" t="s">
        <v>20</v>
      </c>
      <c r="C128" t="s">
        <v>22</v>
      </c>
      <c r="D128">
        <v>27</v>
      </c>
      <c r="E128">
        <v>2018</v>
      </c>
      <c r="F128" t="s">
        <v>14</v>
      </c>
      <c r="G128">
        <v>295</v>
      </c>
      <c r="H128">
        <v>8</v>
      </c>
      <c r="I128">
        <v>4</v>
      </c>
      <c r="L128" s="1">
        <v>307</v>
      </c>
    </row>
    <row r="129" spans="1:12">
      <c r="A129">
        <v>22</v>
      </c>
      <c r="B129" t="s">
        <v>21</v>
      </c>
      <c r="C129" t="s">
        <v>22</v>
      </c>
      <c r="D129">
        <v>27</v>
      </c>
      <c r="E129">
        <v>2018</v>
      </c>
      <c r="F129" t="s">
        <v>14</v>
      </c>
      <c r="G129">
        <v>896</v>
      </c>
      <c r="H129">
        <v>14</v>
      </c>
      <c r="I129">
        <v>13</v>
      </c>
      <c r="L129" s="1">
        <v>923</v>
      </c>
    </row>
    <row r="130" spans="1:12">
      <c r="A130">
        <v>3</v>
      </c>
      <c r="B130" t="s">
        <v>12</v>
      </c>
      <c r="C130" t="s">
        <v>13</v>
      </c>
      <c r="D130">
        <v>27</v>
      </c>
      <c r="E130">
        <v>2018</v>
      </c>
      <c r="F130" t="s">
        <v>14</v>
      </c>
      <c r="G130">
        <v>17</v>
      </c>
      <c r="H130">
        <v>1</v>
      </c>
      <c r="I130">
        <v>0</v>
      </c>
      <c r="L130" s="1">
        <v>18</v>
      </c>
    </row>
    <row r="131" spans="1:12">
      <c r="A131">
        <v>6</v>
      </c>
      <c r="B131" t="s">
        <v>15</v>
      </c>
      <c r="C131" t="s">
        <v>13</v>
      </c>
      <c r="D131">
        <v>27</v>
      </c>
      <c r="E131">
        <v>2018</v>
      </c>
      <c r="F131" t="s">
        <v>14</v>
      </c>
      <c r="G131">
        <v>70</v>
      </c>
      <c r="H131">
        <v>3</v>
      </c>
      <c r="I131">
        <v>1</v>
      </c>
      <c r="L131" s="1">
        <v>74</v>
      </c>
    </row>
    <row r="132" spans="1:12">
      <c r="A132">
        <v>11</v>
      </c>
      <c r="B132" t="s">
        <v>16</v>
      </c>
      <c r="C132" t="s">
        <v>13</v>
      </c>
      <c r="D132">
        <v>27</v>
      </c>
      <c r="E132">
        <v>2018</v>
      </c>
      <c r="F132" t="s">
        <v>14</v>
      </c>
      <c r="G132">
        <v>21</v>
      </c>
      <c r="H132">
        <v>1</v>
      </c>
      <c r="I132">
        <v>12</v>
      </c>
      <c r="L132" s="1">
        <v>34</v>
      </c>
    </row>
    <row r="133" spans="1:12">
      <c r="A133">
        <v>18</v>
      </c>
      <c r="B133" t="s">
        <v>17</v>
      </c>
      <c r="C133" t="s">
        <v>13</v>
      </c>
      <c r="D133">
        <v>27</v>
      </c>
      <c r="E133">
        <v>2018</v>
      </c>
      <c r="F133" t="s">
        <v>14</v>
      </c>
      <c r="G133">
        <v>22</v>
      </c>
      <c r="H133">
        <v>1</v>
      </c>
      <c r="I133">
        <v>0</v>
      </c>
      <c r="L133" s="1">
        <v>23</v>
      </c>
    </row>
    <row r="134" spans="1:12">
      <c r="A134">
        <v>19</v>
      </c>
      <c r="B134" t="s">
        <v>18</v>
      </c>
      <c r="C134" t="s">
        <v>13</v>
      </c>
      <c r="D134">
        <v>27</v>
      </c>
      <c r="E134">
        <v>2018</v>
      </c>
      <c r="F134" t="s">
        <v>14</v>
      </c>
      <c r="G134">
        <v>27</v>
      </c>
      <c r="H134">
        <v>1</v>
      </c>
      <c r="I134">
        <v>0</v>
      </c>
      <c r="L134" s="1">
        <v>28</v>
      </c>
    </row>
    <row r="135" spans="1:12">
      <c r="A135">
        <v>20</v>
      </c>
      <c r="B135" t="s">
        <v>19</v>
      </c>
      <c r="C135" t="s">
        <v>13</v>
      </c>
      <c r="D135">
        <v>27</v>
      </c>
      <c r="E135">
        <v>2018</v>
      </c>
      <c r="F135" t="s">
        <v>14</v>
      </c>
      <c r="G135">
        <v>31</v>
      </c>
      <c r="H135">
        <v>2</v>
      </c>
      <c r="I135">
        <v>1</v>
      </c>
      <c r="L135" s="1">
        <v>34</v>
      </c>
    </row>
    <row r="136" spans="1:12">
      <c r="A136">
        <v>21</v>
      </c>
      <c r="B136" t="s">
        <v>20</v>
      </c>
      <c r="C136" t="s">
        <v>13</v>
      </c>
      <c r="D136">
        <v>27</v>
      </c>
      <c r="E136">
        <v>2018</v>
      </c>
      <c r="F136" t="s">
        <v>14</v>
      </c>
      <c r="G136">
        <v>16</v>
      </c>
      <c r="H136">
        <v>1</v>
      </c>
      <c r="I136">
        <v>1</v>
      </c>
      <c r="L136" s="1">
        <v>18</v>
      </c>
    </row>
    <row r="137" spans="1:12">
      <c r="A137">
        <v>22</v>
      </c>
      <c r="B137" t="s">
        <v>21</v>
      </c>
      <c r="C137" t="s">
        <v>13</v>
      </c>
      <c r="D137">
        <v>27</v>
      </c>
      <c r="E137">
        <v>2018</v>
      </c>
      <c r="F137" t="s">
        <v>14</v>
      </c>
      <c r="G137">
        <v>32</v>
      </c>
      <c r="H137">
        <v>5</v>
      </c>
      <c r="I137">
        <v>0</v>
      </c>
      <c r="L137" s="1">
        <v>37</v>
      </c>
    </row>
    <row r="138" spans="1:12">
      <c r="A138">
        <v>3</v>
      </c>
      <c r="B138" t="s">
        <v>12</v>
      </c>
      <c r="C138" t="s">
        <v>22</v>
      </c>
      <c r="D138">
        <v>27</v>
      </c>
      <c r="E138">
        <v>2017</v>
      </c>
      <c r="F138" t="s">
        <v>23</v>
      </c>
      <c r="G138">
        <v>86</v>
      </c>
      <c r="H138">
        <v>0</v>
      </c>
      <c r="I138">
        <v>1</v>
      </c>
      <c r="L138" s="1">
        <v>87</v>
      </c>
    </row>
    <row r="139" spans="1:12">
      <c r="A139">
        <v>6</v>
      </c>
      <c r="B139" t="s">
        <v>15</v>
      </c>
      <c r="C139" t="s">
        <v>22</v>
      </c>
      <c r="D139">
        <v>27</v>
      </c>
      <c r="E139">
        <v>2017</v>
      </c>
      <c r="F139" t="s">
        <v>23</v>
      </c>
      <c r="G139">
        <v>104</v>
      </c>
      <c r="H139">
        <v>1</v>
      </c>
      <c r="I139">
        <v>1</v>
      </c>
      <c r="J139" s="1"/>
      <c r="K139" s="1"/>
      <c r="L139" s="1">
        <v>106</v>
      </c>
    </row>
    <row r="140" spans="1:12">
      <c r="A140">
        <v>11</v>
      </c>
      <c r="B140" t="s">
        <v>16</v>
      </c>
      <c r="C140" t="s">
        <v>22</v>
      </c>
      <c r="D140">
        <v>27</v>
      </c>
      <c r="E140">
        <v>2017</v>
      </c>
      <c r="F140" t="s">
        <v>23</v>
      </c>
      <c r="G140">
        <v>69</v>
      </c>
      <c r="H140">
        <v>2</v>
      </c>
      <c r="I140">
        <v>19</v>
      </c>
      <c r="J140" s="1"/>
      <c r="K140" s="1"/>
      <c r="L140" s="1">
        <v>90</v>
      </c>
    </row>
    <row r="141" spans="1:12">
      <c r="A141">
        <v>18</v>
      </c>
      <c r="B141" t="s">
        <v>17</v>
      </c>
      <c r="C141" t="s">
        <v>22</v>
      </c>
      <c r="D141">
        <v>27</v>
      </c>
      <c r="E141">
        <v>2017</v>
      </c>
      <c r="F141" t="s">
        <v>23</v>
      </c>
      <c r="G141">
        <v>85</v>
      </c>
      <c r="H141">
        <v>2</v>
      </c>
      <c r="I141">
        <v>0</v>
      </c>
      <c r="J141" s="1"/>
      <c r="K141" s="1"/>
      <c r="L141" s="1">
        <v>87</v>
      </c>
    </row>
    <row r="142" spans="1:12">
      <c r="A142">
        <v>19</v>
      </c>
      <c r="B142" t="s">
        <v>18</v>
      </c>
      <c r="C142" t="s">
        <v>22</v>
      </c>
      <c r="D142">
        <v>27</v>
      </c>
      <c r="E142">
        <v>2017</v>
      </c>
      <c r="F142" t="s">
        <v>23</v>
      </c>
      <c r="G142">
        <v>105</v>
      </c>
      <c r="H142">
        <v>11</v>
      </c>
      <c r="I142">
        <v>1</v>
      </c>
      <c r="J142" s="1"/>
      <c r="K142" s="1"/>
      <c r="L142" s="1">
        <v>117</v>
      </c>
    </row>
    <row r="143" spans="1:12">
      <c r="A143">
        <v>20</v>
      </c>
      <c r="B143" t="s">
        <v>19</v>
      </c>
      <c r="C143" t="s">
        <v>22</v>
      </c>
      <c r="D143">
        <v>27</v>
      </c>
      <c r="E143">
        <v>2017</v>
      </c>
      <c r="F143" t="s">
        <v>23</v>
      </c>
      <c r="G143">
        <v>124</v>
      </c>
      <c r="H143">
        <v>0</v>
      </c>
      <c r="I143">
        <v>0</v>
      </c>
      <c r="J143" s="1"/>
      <c r="K143" s="1"/>
      <c r="L143" s="1">
        <v>124</v>
      </c>
    </row>
    <row r="144" spans="1:12">
      <c r="A144">
        <v>21</v>
      </c>
      <c r="B144" t="s">
        <v>20</v>
      </c>
      <c r="C144" t="s">
        <v>22</v>
      </c>
      <c r="D144">
        <v>27</v>
      </c>
      <c r="E144">
        <v>2017</v>
      </c>
      <c r="F144" t="s">
        <v>23</v>
      </c>
      <c r="G144">
        <v>79</v>
      </c>
      <c r="H144">
        <v>0</v>
      </c>
      <c r="I144">
        <v>0</v>
      </c>
      <c r="J144" s="1"/>
      <c r="K144" s="1"/>
      <c r="L144" s="1">
        <v>79</v>
      </c>
    </row>
    <row r="145" spans="1:12">
      <c r="A145">
        <v>22</v>
      </c>
      <c r="B145" t="s">
        <v>21</v>
      </c>
      <c r="C145" t="s">
        <v>22</v>
      </c>
      <c r="D145">
        <v>27</v>
      </c>
      <c r="E145">
        <v>2017</v>
      </c>
      <c r="F145" t="s">
        <v>23</v>
      </c>
      <c r="G145">
        <v>244</v>
      </c>
      <c r="H145">
        <v>0</v>
      </c>
      <c r="I145">
        <v>0</v>
      </c>
      <c r="J145" s="1"/>
      <c r="K145" s="1"/>
      <c r="L145" s="1">
        <v>244</v>
      </c>
    </row>
    <row r="146" spans="1:12">
      <c r="A146">
        <v>3</v>
      </c>
      <c r="B146" t="s">
        <v>12</v>
      </c>
      <c r="C146" t="s">
        <v>13</v>
      </c>
      <c r="D146">
        <v>27</v>
      </c>
      <c r="E146">
        <v>2017</v>
      </c>
      <c r="F146" t="s">
        <v>23</v>
      </c>
      <c r="G146">
        <v>41</v>
      </c>
      <c r="H146">
        <v>1</v>
      </c>
      <c r="I146">
        <v>0</v>
      </c>
      <c r="J146" s="1"/>
      <c r="K146" s="1"/>
      <c r="L146" s="1">
        <v>42</v>
      </c>
    </row>
    <row r="147" spans="1:12">
      <c r="A147">
        <v>6</v>
      </c>
      <c r="B147" t="s">
        <v>15</v>
      </c>
      <c r="C147" t="s">
        <v>13</v>
      </c>
      <c r="D147">
        <v>27</v>
      </c>
      <c r="E147">
        <v>2017</v>
      </c>
      <c r="F147" t="s">
        <v>23</v>
      </c>
      <c r="G147">
        <v>89</v>
      </c>
      <c r="H147">
        <v>2</v>
      </c>
      <c r="I147">
        <v>0</v>
      </c>
      <c r="J147" s="1"/>
      <c r="K147" s="1"/>
      <c r="L147" s="1">
        <v>91</v>
      </c>
    </row>
    <row r="148" spans="1:12">
      <c r="A148">
        <v>11</v>
      </c>
      <c r="B148" t="s">
        <v>16</v>
      </c>
      <c r="C148" t="s">
        <v>13</v>
      </c>
      <c r="D148">
        <v>27</v>
      </c>
      <c r="E148">
        <v>2017</v>
      </c>
      <c r="F148" t="s">
        <v>23</v>
      </c>
      <c r="G148">
        <v>52</v>
      </c>
      <c r="H148">
        <v>1</v>
      </c>
      <c r="I148">
        <v>7</v>
      </c>
      <c r="J148" s="1"/>
      <c r="K148" s="1"/>
      <c r="L148" s="1">
        <v>60</v>
      </c>
    </row>
    <row r="149" spans="1:12">
      <c r="A149">
        <v>18</v>
      </c>
      <c r="B149" t="s">
        <v>17</v>
      </c>
      <c r="C149" t="s">
        <v>13</v>
      </c>
      <c r="D149">
        <v>27</v>
      </c>
      <c r="E149">
        <v>2017</v>
      </c>
      <c r="F149" t="s">
        <v>23</v>
      </c>
      <c r="G149">
        <v>36</v>
      </c>
      <c r="H149">
        <v>3</v>
      </c>
      <c r="I149">
        <v>0</v>
      </c>
      <c r="J149" s="1"/>
      <c r="K149" s="1"/>
      <c r="L149" s="1">
        <v>39</v>
      </c>
    </row>
    <row r="150" spans="1:12">
      <c r="A150">
        <v>19</v>
      </c>
      <c r="B150" t="s">
        <v>18</v>
      </c>
      <c r="C150" t="s">
        <v>13</v>
      </c>
      <c r="D150">
        <v>27</v>
      </c>
      <c r="E150">
        <v>2017</v>
      </c>
      <c r="F150" t="s">
        <v>23</v>
      </c>
      <c r="G150">
        <v>39</v>
      </c>
      <c r="H150">
        <v>1</v>
      </c>
      <c r="I150">
        <v>0</v>
      </c>
      <c r="J150" s="1"/>
      <c r="K150" s="1"/>
      <c r="L150" s="1">
        <v>40</v>
      </c>
    </row>
    <row r="151" spans="1:12">
      <c r="A151">
        <v>20</v>
      </c>
      <c r="B151" t="s">
        <v>19</v>
      </c>
      <c r="C151" t="s">
        <v>13</v>
      </c>
      <c r="D151">
        <v>27</v>
      </c>
      <c r="E151">
        <v>2017</v>
      </c>
      <c r="F151" t="s">
        <v>23</v>
      </c>
      <c r="G151">
        <v>39</v>
      </c>
      <c r="H151">
        <v>0</v>
      </c>
      <c r="I151">
        <v>3</v>
      </c>
      <c r="J151" s="1"/>
      <c r="K151" s="1"/>
      <c r="L151" s="1">
        <v>42</v>
      </c>
    </row>
    <row r="152" spans="1:12">
      <c r="A152">
        <v>21</v>
      </c>
      <c r="B152" t="s">
        <v>20</v>
      </c>
      <c r="C152" t="s">
        <v>13</v>
      </c>
      <c r="D152">
        <v>27</v>
      </c>
      <c r="E152">
        <v>2017</v>
      </c>
      <c r="F152" t="s">
        <v>23</v>
      </c>
      <c r="G152">
        <v>27</v>
      </c>
      <c r="H152">
        <v>2</v>
      </c>
      <c r="I152">
        <v>0</v>
      </c>
      <c r="J152" s="1"/>
      <c r="K152" s="1"/>
      <c r="L152" s="1">
        <v>29</v>
      </c>
    </row>
    <row r="153" spans="1:12">
      <c r="A153">
        <v>22</v>
      </c>
      <c r="B153" t="s">
        <v>21</v>
      </c>
      <c r="C153" t="s">
        <v>13</v>
      </c>
      <c r="D153">
        <v>27</v>
      </c>
      <c r="E153">
        <v>2017</v>
      </c>
      <c r="F153" t="s">
        <v>23</v>
      </c>
      <c r="G153">
        <v>41</v>
      </c>
      <c r="H153">
        <v>4</v>
      </c>
      <c r="I153">
        <v>0</v>
      </c>
      <c r="J153" s="1"/>
      <c r="K153" s="1"/>
      <c r="L153" s="1">
        <v>45</v>
      </c>
    </row>
    <row r="154" spans="1:12">
      <c r="A154">
        <v>3</v>
      </c>
      <c r="B154" t="s">
        <v>12</v>
      </c>
      <c r="C154" t="s">
        <v>22</v>
      </c>
      <c r="D154">
        <v>27</v>
      </c>
      <c r="E154">
        <v>2016</v>
      </c>
      <c r="F154" t="s">
        <v>24</v>
      </c>
      <c r="G154">
        <v>525</v>
      </c>
      <c r="H154">
        <v>17</v>
      </c>
      <c r="I154">
        <v>24</v>
      </c>
      <c r="J154" s="1"/>
      <c r="K154" s="1"/>
      <c r="L154" s="1">
        <v>566</v>
      </c>
    </row>
    <row r="155" spans="1:12">
      <c r="A155">
        <v>6</v>
      </c>
      <c r="B155" t="s">
        <v>15</v>
      </c>
      <c r="C155" t="s">
        <v>22</v>
      </c>
      <c r="D155">
        <v>27</v>
      </c>
      <c r="E155">
        <v>2016</v>
      </c>
      <c r="F155" t="s">
        <v>24</v>
      </c>
      <c r="G155">
        <v>513</v>
      </c>
      <c r="H155">
        <v>21</v>
      </c>
      <c r="I155">
        <v>8</v>
      </c>
      <c r="J155" s="1"/>
      <c r="K155" s="1"/>
      <c r="L155" s="1">
        <v>542</v>
      </c>
    </row>
    <row r="156" spans="1:12">
      <c r="A156">
        <v>11</v>
      </c>
      <c r="B156" t="s">
        <v>16</v>
      </c>
      <c r="C156" t="s">
        <v>22</v>
      </c>
      <c r="D156">
        <v>27</v>
      </c>
      <c r="E156">
        <v>2016</v>
      </c>
      <c r="F156" t="s">
        <v>24</v>
      </c>
      <c r="G156">
        <v>624</v>
      </c>
      <c r="H156">
        <v>33</v>
      </c>
      <c r="I156">
        <v>8</v>
      </c>
      <c r="J156" s="1"/>
      <c r="K156" s="1"/>
      <c r="L156" s="1">
        <v>665</v>
      </c>
    </row>
    <row r="157" spans="1:12">
      <c r="A157">
        <v>18</v>
      </c>
      <c r="B157" t="s">
        <v>17</v>
      </c>
      <c r="C157" t="s">
        <v>22</v>
      </c>
      <c r="D157">
        <v>27</v>
      </c>
      <c r="E157">
        <v>2016</v>
      </c>
      <c r="F157" t="s">
        <v>24</v>
      </c>
      <c r="G157">
        <v>537</v>
      </c>
      <c r="H157">
        <v>25</v>
      </c>
      <c r="I157">
        <v>10</v>
      </c>
      <c r="J157" s="1"/>
      <c r="K157" s="1"/>
      <c r="L157" s="1">
        <v>572</v>
      </c>
    </row>
    <row r="158" spans="1:12">
      <c r="A158">
        <v>19</v>
      </c>
      <c r="B158" t="s">
        <v>18</v>
      </c>
      <c r="C158" t="s">
        <v>22</v>
      </c>
      <c r="D158">
        <v>27</v>
      </c>
      <c r="E158">
        <v>2016</v>
      </c>
      <c r="F158" t="s">
        <v>24</v>
      </c>
      <c r="G158">
        <v>656</v>
      </c>
      <c r="H158">
        <v>59</v>
      </c>
      <c r="I158">
        <v>4</v>
      </c>
      <c r="J158" s="1"/>
      <c r="K158" s="1"/>
      <c r="L158" s="1">
        <v>719</v>
      </c>
    </row>
    <row r="159" spans="1:12">
      <c r="A159">
        <v>20</v>
      </c>
      <c r="B159" t="s">
        <v>19</v>
      </c>
      <c r="C159" t="s">
        <v>22</v>
      </c>
      <c r="D159">
        <v>27</v>
      </c>
      <c r="E159">
        <v>2016</v>
      </c>
      <c r="F159" t="s">
        <v>24</v>
      </c>
      <c r="G159">
        <v>508</v>
      </c>
      <c r="H159">
        <v>22</v>
      </c>
      <c r="I159">
        <v>11</v>
      </c>
      <c r="J159" s="1"/>
      <c r="K159" s="1"/>
      <c r="L159" s="1">
        <v>541</v>
      </c>
    </row>
    <row r="160" spans="1:12">
      <c r="A160">
        <v>21</v>
      </c>
      <c r="B160" t="s">
        <v>20</v>
      </c>
      <c r="C160" t="s">
        <v>22</v>
      </c>
      <c r="D160">
        <v>27</v>
      </c>
      <c r="E160">
        <v>2016</v>
      </c>
      <c r="F160" t="s">
        <v>24</v>
      </c>
      <c r="G160">
        <v>451</v>
      </c>
      <c r="H160">
        <v>22</v>
      </c>
      <c r="I160">
        <v>0</v>
      </c>
      <c r="J160" s="1"/>
      <c r="K160" s="1"/>
      <c r="L160" s="1">
        <v>473</v>
      </c>
    </row>
    <row r="161" spans="1:12">
      <c r="A161">
        <v>22</v>
      </c>
      <c r="B161" t="s">
        <v>21</v>
      </c>
      <c r="C161" t="s">
        <v>22</v>
      </c>
      <c r="D161">
        <v>27</v>
      </c>
      <c r="E161">
        <v>2016</v>
      </c>
      <c r="F161" t="s">
        <v>24</v>
      </c>
      <c r="G161">
        <v>1081</v>
      </c>
      <c r="H161">
        <v>54</v>
      </c>
      <c r="I161">
        <v>5</v>
      </c>
      <c r="J161" s="1"/>
      <c r="K161" s="1"/>
      <c r="L161" s="1">
        <v>1140</v>
      </c>
    </row>
    <row r="162" spans="1:12">
      <c r="A162">
        <v>3</v>
      </c>
      <c r="B162" t="s">
        <v>12</v>
      </c>
      <c r="C162" t="s">
        <v>13</v>
      </c>
      <c r="D162">
        <v>27</v>
      </c>
      <c r="E162">
        <v>2016</v>
      </c>
      <c r="F162" t="s">
        <v>24</v>
      </c>
      <c r="G162">
        <v>158</v>
      </c>
      <c r="H162">
        <v>0</v>
      </c>
      <c r="I162">
        <v>5</v>
      </c>
      <c r="J162" s="1"/>
      <c r="K162" s="1"/>
      <c r="L162" s="1">
        <v>163</v>
      </c>
    </row>
    <row r="163" spans="1:12">
      <c r="A163">
        <v>6</v>
      </c>
      <c r="B163" t="s">
        <v>15</v>
      </c>
      <c r="C163" t="s">
        <v>13</v>
      </c>
      <c r="D163">
        <v>27</v>
      </c>
      <c r="E163">
        <v>2016</v>
      </c>
      <c r="F163" t="s">
        <v>24</v>
      </c>
      <c r="G163">
        <v>237</v>
      </c>
      <c r="H163">
        <v>1</v>
      </c>
      <c r="I163">
        <v>2</v>
      </c>
      <c r="L163" s="1">
        <v>240</v>
      </c>
    </row>
    <row r="164" spans="1:12">
      <c r="A164">
        <v>11</v>
      </c>
      <c r="B164" t="s">
        <v>16</v>
      </c>
      <c r="C164" t="s">
        <v>13</v>
      </c>
      <c r="D164">
        <v>27</v>
      </c>
      <c r="E164">
        <v>2016</v>
      </c>
      <c r="F164" t="s">
        <v>24</v>
      </c>
      <c r="G164">
        <v>209</v>
      </c>
      <c r="H164">
        <v>0</v>
      </c>
      <c r="I164">
        <v>18</v>
      </c>
      <c r="L164" s="1">
        <v>227</v>
      </c>
    </row>
    <row r="165" spans="1:12">
      <c r="A165">
        <v>18</v>
      </c>
      <c r="B165" t="s">
        <v>17</v>
      </c>
      <c r="C165" t="s">
        <v>13</v>
      </c>
      <c r="D165">
        <v>27</v>
      </c>
      <c r="E165">
        <v>2016</v>
      </c>
      <c r="F165" t="s">
        <v>24</v>
      </c>
      <c r="G165">
        <v>197</v>
      </c>
      <c r="H165">
        <v>2</v>
      </c>
      <c r="I165">
        <v>2</v>
      </c>
      <c r="L165" s="1">
        <v>201</v>
      </c>
    </row>
    <row r="166" spans="1:12">
      <c r="A166">
        <v>19</v>
      </c>
      <c r="B166" t="s">
        <v>18</v>
      </c>
      <c r="C166" t="s">
        <v>13</v>
      </c>
      <c r="D166">
        <v>27</v>
      </c>
      <c r="E166">
        <v>2016</v>
      </c>
      <c r="F166" t="s">
        <v>24</v>
      </c>
      <c r="G166">
        <v>324</v>
      </c>
      <c r="H166">
        <v>11</v>
      </c>
      <c r="I166">
        <v>1</v>
      </c>
      <c r="L166" s="1">
        <v>336</v>
      </c>
    </row>
    <row r="167" spans="1:12">
      <c r="A167">
        <v>20</v>
      </c>
      <c r="B167" t="s">
        <v>19</v>
      </c>
      <c r="C167" t="s">
        <v>13</v>
      </c>
      <c r="D167">
        <v>27</v>
      </c>
      <c r="E167">
        <v>2016</v>
      </c>
      <c r="F167" t="s">
        <v>24</v>
      </c>
      <c r="G167">
        <v>232</v>
      </c>
      <c r="H167">
        <v>2</v>
      </c>
      <c r="I167">
        <v>0</v>
      </c>
      <c r="L167" s="1">
        <v>234</v>
      </c>
    </row>
    <row r="168" spans="1:12">
      <c r="A168">
        <v>21</v>
      </c>
      <c r="B168" t="s">
        <v>20</v>
      </c>
      <c r="C168" t="s">
        <v>13</v>
      </c>
      <c r="D168">
        <v>27</v>
      </c>
      <c r="E168">
        <v>2016</v>
      </c>
      <c r="F168" t="s">
        <v>24</v>
      </c>
      <c r="G168">
        <v>199</v>
      </c>
      <c r="H168">
        <v>2</v>
      </c>
      <c r="I168">
        <v>0</v>
      </c>
      <c r="L168" s="1">
        <v>201</v>
      </c>
    </row>
    <row r="169" spans="1:12">
      <c r="A169">
        <v>22</v>
      </c>
      <c r="B169" t="s">
        <v>21</v>
      </c>
      <c r="C169" t="s">
        <v>13</v>
      </c>
      <c r="D169">
        <v>27</v>
      </c>
      <c r="E169">
        <v>2016</v>
      </c>
      <c r="F169" t="s">
        <v>24</v>
      </c>
      <c r="G169">
        <v>518</v>
      </c>
      <c r="H169">
        <v>4</v>
      </c>
      <c r="I169">
        <v>2</v>
      </c>
      <c r="L169" s="1">
        <v>524</v>
      </c>
    </row>
    <row r="170" spans="1:12">
      <c r="A170">
        <v>3</v>
      </c>
      <c r="B170" t="s">
        <v>12</v>
      </c>
      <c r="C170" t="s">
        <v>22</v>
      </c>
      <c r="D170">
        <v>27</v>
      </c>
      <c r="E170">
        <v>2015</v>
      </c>
      <c r="F170" t="s">
        <v>25</v>
      </c>
      <c r="G170">
        <v>42</v>
      </c>
      <c r="H170">
        <v>0</v>
      </c>
      <c r="I170">
        <v>8</v>
      </c>
      <c r="L170" s="1">
        <v>50</v>
      </c>
    </row>
    <row r="171" spans="1:12">
      <c r="A171">
        <v>6</v>
      </c>
      <c r="B171" t="s">
        <v>15</v>
      </c>
      <c r="C171" t="s">
        <v>22</v>
      </c>
      <c r="D171">
        <v>27</v>
      </c>
      <c r="E171">
        <v>2015</v>
      </c>
      <c r="F171" t="s">
        <v>25</v>
      </c>
      <c r="G171">
        <v>85</v>
      </c>
      <c r="H171">
        <v>0</v>
      </c>
      <c r="I171">
        <v>0</v>
      </c>
      <c r="L171" s="1">
        <v>85</v>
      </c>
    </row>
    <row r="172" spans="1:12">
      <c r="A172">
        <v>11</v>
      </c>
      <c r="B172" t="s">
        <v>16</v>
      </c>
      <c r="C172" t="s">
        <v>22</v>
      </c>
      <c r="D172">
        <v>27</v>
      </c>
      <c r="E172">
        <v>2015</v>
      </c>
      <c r="F172" t="s">
        <v>25</v>
      </c>
      <c r="G172">
        <v>39</v>
      </c>
      <c r="H172">
        <v>0</v>
      </c>
      <c r="I172">
        <v>3</v>
      </c>
      <c r="L172" s="1">
        <v>42</v>
      </c>
    </row>
    <row r="173" spans="1:12">
      <c r="A173">
        <v>18</v>
      </c>
      <c r="B173" t="s">
        <v>17</v>
      </c>
      <c r="C173" t="s">
        <v>22</v>
      </c>
      <c r="D173">
        <v>27</v>
      </c>
      <c r="E173">
        <v>2015</v>
      </c>
      <c r="F173" t="s">
        <v>25</v>
      </c>
      <c r="G173">
        <v>22</v>
      </c>
      <c r="H173">
        <v>0</v>
      </c>
      <c r="I173">
        <v>1</v>
      </c>
      <c r="L173" s="1">
        <v>23</v>
      </c>
    </row>
    <row r="174" spans="1:12">
      <c r="A174">
        <v>19</v>
      </c>
      <c r="B174" t="s">
        <v>18</v>
      </c>
      <c r="C174" t="s">
        <v>22</v>
      </c>
      <c r="D174">
        <v>27</v>
      </c>
      <c r="E174">
        <v>2015</v>
      </c>
      <c r="F174" t="s">
        <v>25</v>
      </c>
      <c r="G174">
        <v>68</v>
      </c>
      <c r="H174">
        <v>4</v>
      </c>
      <c r="I174">
        <v>0</v>
      </c>
      <c r="L174" s="1">
        <v>72</v>
      </c>
    </row>
    <row r="175" spans="1:12">
      <c r="A175">
        <v>20</v>
      </c>
      <c r="B175" t="s">
        <v>19</v>
      </c>
      <c r="C175" t="s">
        <v>22</v>
      </c>
      <c r="D175">
        <v>27</v>
      </c>
      <c r="E175">
        <v>2015</v>
      </c>
      <c r="F175" t="s">
        <v>25</v>
      </c>
      <c r="G175">
        <v>42</v>
      </c>
      <c r="H175">
        <v>0</v>
      </c>
      <c r="I175">
        <v>0</v>
      </c>
      <c r="L175" s="1">
        <v>42</v>
      </c>
    </row>
    <row r="176" spans="1:12">
      <c r="A176">
        <v>21</v>
      </c>
      <c r="B176" t="s">
        <v>20</v>
      </c>
      <c r="C176" t="s">
        <v>22</v>
      </c>
      <c r="D176">
        <v>27</v>
      </c>
      <c r="E176">
        <v>2015</v>
      </c>
      <c r="F176" t="s">
        <v>25</v>
      </c>
      <c r="G176">
        <v>29</v>
      </c>
      <c r="H176">
        <v>0</v>
      </c>
      <c r="I176">
        <v>0</v>
      </c>
      <c r="L176" s="1">
        <v>29</v>
      </c>
    </row>
    <row r="177" spans="1:12">
      <c r="A177">
        <v>22</v>
      </c>
      <c r="B177" t="s">
        <v>21</v>
      </c>
      <c r="C177" t="s">
        <v>22</v>
      </c>
      <c r="D177">
        <v>27</v>
      </c>
      <c r="E177">
        <v>2015</v>
      </c>
      <c r="F177" t="s">
        <v>25</v>
      </c>
      <c r="G177">
        <v>102</v>
      </c>
      <c r="H177">
        <v>0</v>
      </c>
      <c r="I177">
        <v>1</v>
      </c>
      <c r="L177" s="1">
        <v>103</v>
      </c>
    </row>
    <row r="178" spans="1:12">
      <c r="A178">
        <v>3</v>
      </c>
      <c r="B178" t="s">
        <v>12</v>
      </c>
      <c r="C178" t="s">
        <v>13</v>
      </c>
      <c r="D178">
        <v>27</v>
      </c>
      <c r="E178">
        <v>2015</v>
      </c>
      <c r="F178" t="s">
        <v>25</v>
      </c>
      <c r="G178">
        <v>20</v>
      </c>
      <c r="H178">
        <v>1</v>
      </c>
      <c r="I178">
        <v>0</v>
      </c>
      <c r="L178" s="1">
        <v>21</v>
      </c>
    </row>
    <row r="179" spans="1:12">
      <c r="A179">
        <v>6</v>
      </c>
      <c r="B179" t="s">
        <v>15</v>
      </c>
      <c r="C179" t="s">
        <v>13</v>
      </c>
      <c r="D179">
        <v>27</v>
      </c>
      <c r="E179">
        <v>2015</v>
      </c>
      <c r="F179" t="s">
        <v>25</v>
      </c>
      <c r="G179">
        <v>87</v>
      </c>
      <c r="H179">
        <v>0</v>
      </c>
      <c r="I179">
        <v>0</v>
      </c>
      <c r="L179" s="1">
        <v>87</v>
      </c>
    </row>
    <row r="180" spans="1:12">
      <c r="A180">
        <v>11</v>
      </c>
      <c r="B180" t="s">
        <v>16</v>
      </c>
      <c r="C180" t="s">
        <v>13</v>
      </c>
      <c r="D180">
        <v>27</v>
      </c>
      <c r="E180">
        <v>2015</v>
      </c>
      <c r="F180" t="s">
        <v>25</v>
      </c>
      <c r="G180">
        <v>27</v>
      </c>
      <c r="H180">
        <v>1</v>
      </c>
      <c r="I180">
        <v>7</v>
      </c>
      <c r="L180" s="1">
        <v>35</v>
      </c>
    </row>
    <row r="181" spans="1:12">
      <c r="A181">
        <v>18</v>
      </c>
      <c r="B181" t="s">
        <v>17</v>
      </c>
      <c r="C181" t="s">
        <v>13</v>
      </c>
      <c r="D181">
        <v>27</v>
      </c>
      <c r="E181">
        <v>2015</v>
      </c>
      <c r="F181" t="s">
        <v>25</v>
      </c>
      <c r="G181">
        <v>20</v>
      </c>
      <c r="H181">
        <v>1</v>
      </c>
      <c r="I181">
        <v>0</v>
      </c>
      <c r="L181" s="1">
        <v>21</v>
      </c>
    </row>
    <row r="182" spans="1:12">
      <c r="A182">
        <v>19</v>
      </c>
      <c r="B182" t="s">
        <v>18</v>
      </c>
      <c r="C182" t="s">
        <v>13</v>
      </c>
      <c r="D182">
        <v>27</v>
      </c>
      <c r="E182">
        <v>2015</v>
      </c>
      <c r="F182" t="s">
        <v>25</v>
      </c>
      <c r="G182">
        <v>21</v>
      </c>
      <c r="H182">
        <v>1</v>
      </c>
      <c r="I182">
        <v>0</v>
      </c>
      <c r="L182" s="1">
        <v>22</v>
      </c>
    </row>
    <row r="183" spans="1:12">
      <c r="A183">
        <v>20</v>
      </c>
      <c r="B183" t="s">
        <v>19</v>
      </c>
      <c r="C183" t="s">
        <v>13</v>
      </c>
      <c r="D183">
        <v>27</v>
      </c>
      <c r="E183">
        <v>2015</v>
      </c>
      <c r="F183" t="s">
        <v>25</v>
      </c>
      <c r="G183">
        <v>21</v>
      </c>
      <c r="H183">
        <v>1</v>
      </c>
      <c r="I183">
        <v>4</v>
      </c>
      <c r="L183" s="1">
        <v>26</v>
      </c>
    </row>
    <row r="184" spans="1:12">
      <c r="A184">
        <v>21</v>
      </c>
      <c r="B184" t="s">
        <v>20</v>
      </c>
      <c r="C184" t="s">
        <v>13</v>
      </c>
      <c r="D184">
        <v>27</v>
      </c>
      <c r="E184">
        <v>2015</v>
      </c>
      <c r="F184" t="s">
        <v>25</v>
      </c>
      <c r="G184">
        <v>12</v>
      </c>
      <c r="H184">
        <v>1</v>
      </c>
      <c r="I184">
        <v>0</v>
      </c>
      <c r="L184" s="1">
        <v>13</v>
      </c>
    </row>
    <row r="185" spans="1:12">
      <c r="A185">
        <v>22</v>
      </c>
      <c r="B185" t="s">
        <v>21</v>
      </c>
      <c r="C185" t="s">
        <v>13</v>
      </c>
      <c r="D185">
        <v>27</v>
      </c>
      <c r="E185">
        <v>2015</v>
      </c>
      <c r="F185" t="s">
        <v>25</v>
      </c>
      <c r="G185">
        <v>30</v>
      </c>
      <c r="H185">
        <v>0</v>
      </c>
      <c r="I185">
        <v>0</v>
      </c>
      <c r="L185" s="1">
        <v>30</v>
      </c>
    </row>
    <row r="186" spans="1:12">
      <c r="A186">
        <v>3</v>
      </c>
      <c r="B186" t="s">
        <v>12</v>
      </c>
      <c r="C186" t="s">
        <v>13</v>
      </c>
      <c r="D186">
        <v>27</v>
      </c>
      <c r="E186">
        <v>2014</v>
      </c>
      <c r="F186" t="s">
        <v>14</v>
      </c>
      <c r="G186" s="1">
        <v>15</v>
      </c>
      <c r="H186" s="1">
        <v>3</v>
      </c>
      <c r="I186" s="1">
        <v>2</v>
      </c>
      <c r="J186" s="1"/>
      <c r="K186" s="1"/>
      <c r="L186" s="1">
        <v>20</v>
      </c>
    </row>
    <row r="187" spans="1:12">
      <c r="A187">
        <v>6</v>
      </c>
      <c r="B187" t="s">
        <v>15</v>
      </c>
      <c r="C187" t="s">
        <v>13</v>
      </c>
      <c r="D187">
        <v>27</v>
      </c>
      <c r="E187">
        <v>2014</v>
      </c>
      <c r="F187" t="s">
        <v>14</v>
      </c>
      <c r="G187" s="1">
        <v>40</v>
      </c>
      <c r="H187" s="1">
        <v>1</v>
      </c>
      <c r="I187" s="1">
        <v>0</v>
      </c>
      <c r="J187" s="1"/>
      <c r="K187" s="1"/>
      <c r="L187" s="1">
        <v>41</v>
      </c>
    </row>
    <row r="188" spans="1:12">
      <c r="A188">
        <v>11</v>
      </c>
      <c r="B188" t="s">
        <v>16</v>
      </c>
      <c r="C188" t="s">
        <v>13</v>
      </c>
      <c r="D188">
        <v>27</v>
      </c>
      <c r="E188">
        <v>2014</v>
      </c>
      <c r="F188" t="s">
        <v>14</v>
      </c>
      <c r="G188" s="1">
        <v>10</v>
      </c>
      <c r="H188" s="1">
        <v>0</v>
      </c>
      <c r="I188" s="1">
        <v>0</v>
      </c>
      <c r="J188" s="1"/>
      <c r="K188" s="1"/>
      <c r="L188" s="1">
        <v>10</v>
      </c>
    </row>
    <row r="189" spans="1:12">
      <c r="A189">
        <v>18</v>
      </c>
      <c r="B189" t="s">
        <v>17</v>
      </c>
      <c r="C189" t="s">
        <v>13</v>
      </c>
      <c r="D189">
        <v>27</v>
      </c>
      <c r="E189">
        <v>2014</v>
      </c>
      <c r="F189" t="s">
        <v>14</v>
      </c>
      <c r="G189" s="1">
        <v>8</v>
      </c>
      <c r="H189" s="1">
        <v>0</v>
      </c>
      <c r="I189" s="1">
        <v>0</v>
      </c>
      <c r="J189" s="1"/>
      <c r="K189" s="1"/>
      <c r="L189" s="1">
        <v>8</v>
      </c>
    </row>
    <row r="190" spans="1:12">
      <c r="A190">
        <v>19</v>
      </c>
      <c r="B190" t="s">
        <v>18</v>
      </c>
      <c r="C190" t="s">
        <v>13</v>
      </c>
      <c r="D190">
        <v>27</v>
      </c>
      <c r="E190">
        <v>2014</v>
      </c>
      <c r="F190" t="s">
        <v>14</v>
      </c>
      <c r="G190" s="1">
        <v>15</v>
      </c>
      <c r="H190" s="1">
        <v>2</v>
      </c>
      <c r="I190" s="1">
        <v>0</v>
      </c>
      <c r="J190" s="1"/>
      <c r="K190" s="1"/>
      <c r="L190" s="1">
        <v>17</v>
      </c>
    </row>
    <row r="191" spans="1:12">
      <c r="A191">
        <v>20</v>
      </c>
      <c r="B191" t="s">
        <v>19</v>
      </c>
      <c r="C191" t="s">
        <v>13</v>
      </c>
      <c r="D191">
        <v>27</v>
      </c>
      <c r="E191">
        <v>2014</v>
      </c>
      <c r="F191" t="s">
        <v>14</v>
      </c>
      <c r="G191" s="1">
        <v>18</v>
      </c>
      <c r="H191" s="1">
        <v>0</v>
      </c>
      <c r="I191" s="1">
        <v>0</v>
      </c>
      <c r="J191" s="1"/>
      <c r="K191" s="1"/>
      <c r="L191" s="1">
        <v>18</v>
      </c>
    </row>
    <row r="192" spans="1:12">
      <c r="A192">
        <v>21</v>
      </c>
      <c r="B192" t="s">
        <v>20</v>
      </c>
      <c r="C192" t="s">
        <v>13</v>
      </c>
      <c r="D192">
        <v>27</v>
      </c>
      <c r="E192">
        <v>2014</v>
      </c>
      <c r="F192" t="s">
        <v>14</v>
      </c>
      <c r="G192" s="1">
        <v>8</v>
      </c>
      <c r="H192" s="1">
        <v>0</v>
      </c>
      <c r="I192" s="1">
        <v>0</v>
      </c>
      <c r="J192" s="1"/>
      <c r="K192" s="1"/>
      <c r="L192" s="1">
        <v>8</v>
      </c>
    </row>
    <row r="193" spans="1:12">
      <c r="A193">
        <v>22</v>
      </c>
      <c r="B193" t="s">
        <v>21</v>
      </c>
      <c r="C193" t="s">
        <v>13</v>
      </c>
      <c r="D193">
        <v>27</v>
      </c>
      <c r="E193">
        <v>2014</v>
      </c>
      <c r="F193" t="s">
        <v>14</v>
      </c>
      <c r="G193" s="1">
        <v>26</v>
      </c>
      <c r="H193" s="1">
        <v>0</v>
      </c>
      <c r="I193" s="1">
        <v>0</v>
      </c>
      <c r="J193" s="1"/>
      <c r="K193" s="1"/>
      <c r="L193" s="1">
        <v>26</v>
      </c>
    </row>
    <row r="194" spans="1:12">
      <c r="A194">
        <v>3</v>
      </c>
      <c r="B194" t="s">
        <v>12</v>
      </c>
      <c r="C194" t="s">
        <v>22</v>
      </c>
      <c r="D194">
        <v>27</v>
      </c>
      <c r="E194">
        <v>2014</v>
      </c>
      <c r="F194" t="s">
        <v>14</v>
      </c>
      <c r="G194" s="1">
        <v>112</v>
      </c>
      <c r="H194" s="1">
        <v>4</v>
      </c>
      <c r="I194" s="1">
        <v>1</v>
      </c>
      <c r="J194" s="1"/>
      <c r="K194" s="1"/>
      <c r="L194" s="1">
        <v>117</v>
      </c>
    </row>
    <row r="195" spans="1:12">
      <c r="A195">
        <v>6</v>
      </c>
      <c r="B195" t="s">
        <v>15</v>
      </c>
      <c r="C195" t="s">
        <v>22</v>
      </c>
      <c r="D195">
        <v>27</v>
      </c>
      <c r="E195">
        <v>2014</v>
      </c>
      <c r="F195" t="s">
        <v>14</v>
      </c>
      <c r="G195" s="1">
        <v>154</v>
      </c>
      <c r="H195" s="1">
        <v>0</v>
      </c>
      <c r="I195" s="1">
        <v>3</v>
      </c>
      <c r="J195" s="1"/>
      <c r="K195" s="1"/>
      <c r="L195" s="1">
        <v>157</v>
      </c>
    </row>
    <row r="196" spans="1:12">
      <c r="A196">
        <v>11</v>
      </c>
      <c r="B196" t="s">
        <v>16</v>
      </c>
      <c r="C196" t="s">
        <v>22</v>
      </c>
      <c r="D196">
        <v>27</v>
      </c>
      <c r="E196">
        <v>2014</v>
      </c>
      <c r="F196" t="s">
        <v>14</v>
      </c>
      <c r="G196" s="1">
        <v>84</v>
      </c>
      <c r="H196" s="1">
        <v>1</v>
      </c>
      <c r="I196" s="1">
        <v>4</v>
      </c>
      <c r="J196" s="1"/>
      <c r="K196" s="1"/>
      <c r="L196" s="1">
        <v>89</v>
      </c>
    </row>
    <row r="197" spans="1:12">
      <c r="A197">
        <v>18</v>
      </c>
      <c r="B197" t="s">
        <v>17</v>
      </c>
      <c r="C197" t="s">
        <v>22</v>
      </c>
      <c r="D197">
        <v>27</v>
      </c>
      <c r="E197">
        <v>2014</v>
      </c>
      <c r="F197" t="s">
        <v>14</v>
      </c>
      <c r="G197" s="1">
        <v>85</v>
      </c>
      <c r="H197" s="1">
        <v>0</v>
      </c>
      <c r="I197" s="1">
        <v>0</v>
      </c>
      <c r="J197" s="1"/>
      <c r="K197" s="1"/>
      <c r="L197" s="1">
        <v>85</v>
      </c>
    </row>
    <row r="198" spans="1:12">
      <c r="A198">
        <v>19</v>
      </c>
      <c r="B198" t="s">
        <v>18</v>
      </c>
      <c r="C198" t="s">
        <v>22</v>
      </c>
      <c r="D198">
        <v>27</v>
      </c>
      <c r="E198">
        <v>2014</v>
      </c>
      <c r="F198" t="s">
        <v>14</v>
      </c>
      <c r="G198" s="1">
        <v>115</v>
      </c>
      <c r="H198" s="1">
        <v>2</v>
      </c>
      <c r="I198" s="1">
        <v>0</v>
      </c>
      <c r="J198" s="1"/>
      <c r="K198" s="1"/>
      <c r="L198" s="1">
        <v>117</v>
      </c>
    </row>
    <row r="199" spans="1:12">
      <c r="A199">
        <v>20</v>
      </c>
      <c r="B199" t="s">
        <v>19</v>
      </c>
      <c r="C199" t="s">
        <v>22</v>
      </c>
      <c r="D199">
        <v>27</v>
      </c>
      <c r="E199">
        <v>2014</v>
      </c>
      <c r="F199" t="s">
        <v>14</v>
      </c>
      <c r="G199" s="1">
        <v>120</v>
      </c>
      <c r="H199" s="1">
        <v>1</v>
      </c>
      <c r="I199" s="1">
        <v>3</v>
      </c>
      <c r="J199" s="1"/>
      <c r="K199" s="1"/>
      <c r="L199" s="1">
        <v>124</v>
      </c>
    </row>
    <row r="200" spans="1:12">
      <c r="A200">
        <v>21</v>
      </c>
      <c r="B200" t="s">
        <v>20</v>
      </c>
      <c r="C200" t="s">
        <v>22</v>
      </c>
      <c r="D200">
        <v>27</v>
      </c>
      <c r="E200">
        <v>2014</v>
      </c>
      <c r="F200" t="s">
        <v>14</v>
      </c>
      <c r="G200" s="1">
        <v>88</v>
      </c>
      <c r="H200" s="1">
        <v>0</v>
      </c>
      <c r="I200" s="1">
        <v>1</v>
      </c>
      <c r="J200" s="1"/>
      <c r="K200" s="1"/>
      <c r="L200" s="1">
        <v>89</v>
      </c>
    </row>
    <row r="201" spans="1:12">
      <c r="A201">
        <v>22</v>
      </c>
      <c r="B201" t="s">
        <v>21</v>
      </c>
      <c r="C201" t="s">
        <v>22</v>
      </c>
      <c r="D201">
        <v>27</v>
      </c>
      <c r="E201">
        <v>2014</v>
      </c>
      <c r="F201" t="s">
        <v>14</v>
      </c>
      <c r="G201" s="1">
        <v>263</v>
      </c>
      <c r="H201" s="1">
        <v>2</v>
      </c>
      <c r="I201" s="1">
        <v>1</v>
      </c>
      <c r="J201" s="1"/>
      <c r="K201" s="1"/>
      <c r="L201" s="1">
        <v>266</v>
      </c>
    </row>
    <row r="202" customFormat="1" spans="1:12">
      <c r="A202" t="s">
        <v>26</v>
      </c>
      <c r="B202" t="s">
        <v>26</v>
      </c>
      <c r="C202" t="s">
        <v>13</v>
      </c>
      <c r="D202">
        <v>27</v>
      </c>
      <c r="E202">
        <v>2026</v>
      </c>
      <c r="F202" t="s">
        <v>14</v>
      </c>
      <c r="G202">
        <v>278</v>
      </c>
      <c r="H202">
        <v>100</v>
      </c>
      <c r="I202">
        <v>7</v>
      </c>
      <c r="J202">
        <v>10481</v>
      </c>
      <c r="K202">
        <v>0.0367331361511306</v>
      </c>
      <c r="L202">
        <v>385</v>
      </c>
    </row>
    <row r="203" customFormat="1" spans="1:12">
      <c r="A203" t="s">
        <v>26</v>
      </c>
      <c r="B203" t="s">
        <v>26</v>
      </c>
      <c r="C203" t="s">
        <v>22</v>
      </c>
      <c r="D203">
        <v>27</v>
      </c>
      <c r="E203">
        <v>2025</v>
      </c>
      <c r="F203" t="s">
        <v>23</v>
      </c>
      <c r="G203">
        <v>1899</v>
      </c>
      <c r="H203">
        <v>136</v>
      </c>
      <c r="I203">
        <v>30</v>
      </c>
      <c r="J203">
        <v>10451</v>
      </c>
      <c r="K203">
        <v>0.197588747488279</v>
      </c>
      <c r="L203">
        <v>2065</v>
      </c>
    </row>
    <row r="204" customFormat="1" spans="1:12">
      <c r="A204" t="s">
        <v>26</v>
      </c>
      <c r="B204" t="s">
        <v>26</v>
      </c>
      <c r="C204" t="s">
        <v>13</v>
      </c>
      <c r="D204">
        <v>27</v>
      </c>
      <c r="E204">
        <v>2025</v>
      </c>
      <c r="F204" t="s">
        <v>23</v>
      </c>
      <c r="G204">
        <v>141</v>
      </c>
      <c r="H204">
        <v>49</v>
      </c>
      <c r="I204">
        <v>5</v>
      </c>
      <c r="J204">
        <v>10175</v>
      </c>
      <c r="K204">
        <v>0.0191646191646192</v>
      </c>
      <c r="L204">
        <v>195</v>
      </c>
    </row>
    <row r="205" customFormat="1" spans="1:12">
      <c r="A205" t="s">
        <v>26</v>
      </c>
      <c r="B205" t="s">
        <v>26</v>
      </c>
      <c r="C205" t="s">
        <v>22</v>
      </c>
      <c r="D205">
        <v>27</v>
      </c>
      <c r="E205">
        <v>2024</v>
      </c>
      <c r="F205" t="s">
        <v>24</v>
      </c>
      <c r="G205">
        <v>4558</v>
      </c>
      <c r="H205">
        <v>1246</v>
      </c>
      <c r="I205">
        <v>85</v>
      </c>
      <c r="J205">
        <v>11662</v>
      </c>
      <c r="K205">
        <v>0.504973417938604</v>
      </c>
      <c r="L205">
        <v>5889</v>
      </c>
    </row>
    <row r="206" customFormat="1" spans="1:12">
      <c r="A206" t="s">
        <v>26</v>
      </c>
      <c r="B206" t="s">
        <v>26</v>
      </c>
      <c r="C206" t="s">
        <v>13</v>
      </c>
      <c r="D206">
        <v>27</v>
      </c>
      <c r="E206">
        <v>2024</v>
      </c>
      <c r="F206" t="s">
        <v>24</v>
      </c>
      <c r="G206">
        <v>663</v>
      </c>
      <c r="H206">
        <v>63</v>
      </c>
      <c r="I206">
        <v>9</v>
      </c>
      <c r="J206">
        <v>8856</v>
      </c>
      <c r="K206">
        <v>0.0829945799457995</v>
      </c>
      <c r="L206">
        <v>735</v>
      </c>
    </row>
    <row r="207" customFormat="1" spans="1:12">
      <c r="A207" t="s">
        <v>26</v>
      </c>
      <c r="B207" t="s">
        <v>26</v>
      </c>
      <c r="C207" t="s">
        <v>22</v>
      </c>
      <c r="D207">
        <v>27</v>
      </c>
      <c r="E207">
        <v>2023</v>
      </c>
      <c r="F207" t="s">
        <v>25</v>
      </c>
      <c r="G207">
        <v>1165</v>
      </c>
      <c r="H207">
        <v>103</v>
      </c>
      <c r="I207">
        <v>81</v>
      </c>
      <c r="J207">
        <v>8756</v>
      </c>
      <c r="K207">
        <v>0.154065783462768</v>
      </c>
      <c r="L207">
        <v>1349</v>
      </c>
    </row>
    <row r="208" customFormat="1" spans="1:12">
      <c r="A208" t="s">
        <v>26</v>
      </c>
      <c r="B208" t="s">
        <v>26</v>
      </c>
      <c r="C208" t="s">
        <v>13</v>
      </c>
      <c r="D208">
        <v>27</v>
      </c>
      <c r="E208">
        <v>2023</v>
      </c>
      <c r="F208" t="s">
        <v>25</v>
      </c>
      <c r="G208">
        <v>288</v>
      </c>
      <c r="H208">
        <v>112</v>
      </c>
      <c r="I208">
        <v>6</v>
      </c>
      <c r="J208">
        <v>8164</v>
      </c>
      <c r="K208">
        <v>0.0497305242528172</v>
      </c>
      <c r="L208">
        <v>406</v>
      </c>
    </row>
    <row r="209" customFormat="1" spans="1:12">
      <c r="A209" t="s">
        <v>26</v>
      </c>
      <c r="B209" t="s">
        <v>26</v>
      </c>
      <c r="C209" t="s">
        <v>22</v>
      </c>
      <c r="D209">
        <v>27</v>
      </c>
      <c r="E209">
        <v>2022</v>
      </c>
      <c r="F209" t="s">
        <v>14</v>
      </c>
      <c r="G209">
        <v>2366</v>
      </c>
      <c r="H209">
        <v>286</v>
      </c>
      <c r="I209">
        <v>81</v>
      </c>
      <c r="J209">
        <v>10029</v>
      </c>
      <c r="K209">
        <v>0.27250972180676</v>
      </c>
      <c r="L209">
        <v>2733</v>
      </c>
    </row>
    <row r="210" customFormat="1" spans="1:12">
      <c r="A210" t="s">
        <v>26</v>
      </c>
      <c r="B210" t="s">
        <v>26</v>
      </c>
      <c r="C210" t="s">
        <v>13</v>
      </c>
      <c r="D210">
        <v>27</v>
      </c>
      <c r="E210">
        <v>2022</v>
      </c>
      <c r="F210" t="s">
        <v>14</v>
      </c>
      <c r="G210">
        <v>235</v>
      </c>
      <c r="H210">
        <v>107</v>
      </c>
      <c r="I210">
        <v>5</v>
      </c>
      <c r="J210">
        <v>9067</v>
      </c>
      <c r="K210">
        <v>0.0382706518142715</v>
      </c>
      <c r="L210">
        <v>347</v>
      </c>
    </row>
    <row r="211" customFormat="1" spans="1:12">
      <c r="A211" t="s">
        <v>26</v>
      </c>
      <c r="B211" t="s">
        <v>26</v>
      </c>
      <c r="C211" t="s">
        <v>22</v>
      </c>
      <c r="D211">
        <v>27</v>
      </c>
      <c r="E211">
        <v>2021</v>
      </c>
      <c r="F211" t="s">
        <v>23</v>
      </c>
      <c r="G211">
        <v>507</v>
      </c>
      <c r="H211">
        <v>86</v>
      </c>
      <c r="I211">
        <v>13</v>
      </c>
      <c r="J211">
        <v>8985</v>
      </c>
      <c r="K211">
        <v>0.0674457429048414</v>
      </c>
      <c r="L211">
        <v>606</v>
      </c>
    </row>
    <row r="212" customFormat="1" spans="1:12">
      <c r="A212" t="s">
        <v>26</v>
      </c>
      <c r="B212" t="s">
        <v>26</v>
      </c>
      <c r="C212" t="s">
        <v>13</v>
      </c>
      <c r="D212">
        <v>27</v>
      </c>
      <c r="E212">
        <v>2021</v>
      </c>
      <c r="F212" t="s">
        <v>23</v>
      </c>
      <c r="G212">
        <v>227</v>
      </c>
      <c r="H212">
        <v>110</v>
      </c>
      <c r="I212">
        <v>6</v>
      </c>
      <c r="J212">
        <v>8455</v>
      </c>
      <c r="K212">
        <v>0.0405677114133649</v>
      </c>
      <c r="L212">
        <v>343</v>
      </c>
    </row>
    <row r="213" customFormat="1" spans="1:12">
      <c r="A213" t="s">
        <v>26</v>
      </c>
      <c r="B213" t="s">
        <v>26</v>
      </c>
      <c r="C213" t="s">
        <v>22</v>
      </c>
      <c r="D213">
        <v>27</v>
      </c>
      <c r="E213">
        <v>2020</v>
      </c>
      <c r="F213" t="s">
        <v>24</v>
      </c>
      <c r="G213">
        <v>1020</v>
      </c>
      <c r="H213">
        <v>1930</v>
      </c>
      <c r="I213">
        <v>44</v>
      </c>
      <c r="L213">
        <v>2994</v>
      </c>
    </row>
    <row r="214" customFormat="1" spans="1:12">
      <c r="A214" t="s">
        <v>26</v>
      </c>
      <c r="B214" t="s">
        <v>26</v>
      </c>
      <c r="C214" t="s">
        <v>13</v>
      </c>
      <c r="D214">
        <v>27</v>
      </c>
      <c r="E214">
        <v>2020</v>
      </c>
      <c r="F214" t="s">
        <v>24</v>
      </c>
      <c r="G214">
        <v>277</v>
      </c>
      <c r="H214">
        <v>447</v>
      </c>
      <c r="I214">
        <v>7</v>
      </c>
      <c r="L214">
        <v>731</v>
      </c>
    </row>
    <row r="215" customFormat="1" spans="1:12">
      <c r="A215" t="s">
        <v>26</v>
      </c>
      <c r="B215" t="s">
        <v>26</v>
      </c>
      <c r="C215" t="s">
        <v>22</v>
      </c>
      <c r="D215">
        <v>27</v>
      </c>
      <c r="E215">
        <v>2019</v>
      </c>
      <c r="F215" t="s">
        <v>25</v>
      </c>
      <c r="G215">
        <v>1195</v>
      </c>
      <c r="H215">
        <v>35</v>
      </c>
      <c r="I215">
        <v>0</v>
      </c>
      <c r="L215">
        <v>1230</v>
      </c>
    </row>
    <row r="216" customFormat="1" spans="1:12">
      <c r="A216" t="s">
        <v>26</v>
      </c>
      <c r="B216" t="s">
        <v>26</v>
      </c>
      <c r="C216" t="s">
        <v>13</v>
      </c>
      <c r="D216">
        <v>27</v>
      </c>
      <c r="E216">
        <v>2019</v>
      </c>
      <c r="F216" t="s">
        <v>25</v>
      </c>
      <c r="G216">
        <v>294</v>
      </c>
      <c r="H216">
        <v>24</v>
      </c>
      <c r="I216">
        <v>0</v>
      </c>
      <c r="L216">
        <v>318</v>
      </c>
    </row>
    <row r="217" customFormat="1" spans="1:12">
      <c r="A217" t="s">
        <v>26</v>
      </c>
      <c r="B217" t="s">
        <v>26</v>
      </c>
      <c r="C217" t="s">
        <v>22</v>
      </c>
      <c r="D217">
        <v>27</v>
      </c>
      <c r="E217">
        <v>2018</v>
      </c>
      <c r="F217" t="s">
        <v>14</v>
      </c>
      <c r="G217">
        <v>3470</v>
      </c>
      <c r="H217">
        <v>78</v>
      </c>
      <c r="I217">
        <v>37</v>
      </c>
      <c r="L217">
        <v>3585</v>
      </c>
    </row>
    <row r="218" customFormat="1" spans="1:12">
      <c r="A218" t="s">
        <v>26</v>
      </c>
      <c r="B218" t="s">
        <v>26</v>
      </c>
      <c r="C218" t="s">
        <v>13</v>
      </c>
      <c r="D218">
        <v>27</v>
      </c>
      <c r="E218">
        <v>2018</v>
      </c>
      <c r="F218" t="s">
        <v>14</v>
      </c>
      <c r="G218">
        <v>236</v>
      </c>
      <c r="H218">
        <v>15</v>
      </c>
      <c r="I218">
        <v>15</v>
      </c>
      <c r="L218">
        <v>266</v>
      </c>
    </row>
    <row r="219" customFormat="1" spans="1:12">
      <c r="A219" t="s">
        <v>26</v>
      </c>
      <c r="B219" t="s">
        <v>26</v>
      </c>
      <c r="C219" t="s">
        <v>22</v>
      </c>
      <c r="D219">
        <v>27</v>
      </c>
      <c r="E219">
        <v>2017</v>
      </c>
      <c r="F219" t="s">
        <v>23</v>
      </c>
      <c r="G219">
        <v>896</v>
      </c>
      <c r="H219">
        <v>16</v>
      </c>
      <c r="I219">
        <v>22</v>
      </c>
      <c r="L219">
        <v>934</v>
      </c>
    </row>
    <row r="220" customFormat="1" spans="1:12">
      <c r="A220" t="s">
        <v>26</v>
      </c>
      <c r="B220" t="s">
        <v>26</v>
      </c>
      <c r="C220" t="s">
        <v>13</v>
      </c>
      <c r="D220">
        <v>27</v>
      </c>
      <c r="E220">
        <v>2017</v>
      </c>
      <c r="F220" t="s">
        <v>23</v>
      </c>
      <c r="G220">
        <v>364</v>
      </c>
      <c r="H220">
        <v>14</v>
      </c>
      <c r="I220">
        <v>10</v>
      </c>
      <c r="L220">
        <v>388</v>
      </c>
    </row>
    <row r="221" customFormat="1" spans="1:12">
      <c r="A221" t="s">
        <v>26</v>
      </c>
      <c r="B221" t="s">
        <v>26</v>
      </c>
      <c r="C221" t="s">
        <v>22</v>
      </c>
      <c r="D221">
        <v>27</v>
      </c>
      <c r="E221">
        <v>2016</v>
      </c>
      <c r="F221" t="s">
        <v>24</v>
      </c>
      <c r="G221">
        <v>4895</v>
      </c>
      <c r="H221">
        <v>253</v>
      </c>
      <c r="I221">
        <v>70</v>
      </c>
      <c r="L221">
        <v>5218</v>
      </c>
    </row>
    <row r="222" customFormat="1" spans="1:12">
      <c r="A222" t="s">
        <v>26</v>
      </c>
      <c r="B222" t="s">
        <v>26</v>
      </c>
      <c r="C222" t="s">
        <v>13</v>
      </c>
      <c r="D222">
        <v>27</v>
      </c>
      <c r="E222">
        <v>2016</v>
      </c>
      <c r="F222" t="s">
        <v>24</v>
      </c>
      <c r="G222">
        <v>2074</v>
      </c>
      <c r="H222">
        <v>22</v>
      </c>
      <c r="I222">
        <v>30</v>
      </c>
      <c r="L222">
        <v>2126</v>
      </c>
    </row>
    <row r="223" customFormat="1" spans="1:12">
      <c r="A223" t="s">
        <v>26</v>
      </c>
      <c r="B223" t="s">
        <v>26</v>
      </c>
      <c r="C223" t="s">
        <v>22</v>
      </c>
      <c r="D223">
        <v>27</v>
      </c>
      <c r="E223">
        <v>2015</v>
      </c>
      <c r="F223" t="s">
        <v>25</v>
      </c>
      <c r="G223">
        <v>429</v>
      </c>
      <c r="H223">
        <v>4</v>
      </c>
      <c r="I223">
        <v>13</v>
      </c>
      <c r="L223">
        <v>446</v>
      </c>
    </row>
    <row r="224" customFormat="1" spans="1:12">
      <c r="A224" t="s">
        <v>26</v>
      </c>
      <c r="B224" t="s">
        <v>26</v>
      </c>
      <c r="C224" t="s">
        <v>13</v>
      </c>
      <c r="D224">
        <v>27</v>
      </c>
      <c r="E224">
        <v>2015</v>
      </c>
      <c r="F224" t="s">
        <v>25</v>
      </c>
      <c r="G224">
        <v>238</v>
      </c>
      <c r="H224">
        <v>6</v>
      </c>
      <c r="I224">
        <v>11</v>
      </c>
      <c r="L224">
        <v>255</v>
      </c>
    </row>
    <row r="225" customFormat="1" spans="1:12">
      <c r="A225" t="s">
        <v>26</v>
      </c>
      <c r="B225" t="s">
        <v>26</v>
      </c>
      <c r="C225" t="s">
        <v>13</v>
      </c>
      <c r="D225">
        <v>27</v>
      </c>
      <c r="E225">
        <v>2014</v>
      </c>
      <c r="F225" t="s">
        <v>14</v>
      </c>
      <c r="G225">
        <v>140</v>
      </c>
      <c r="H225">
        <v>6</v>
      </c>
      <c r="I225">
        <v>2</v>
      </c>
      <c r="L225">
        <v>148</v>
      </c>
    </row>
    <row r="226" customFormat="1" spans="1:12">
      <c r="A226" t="s">
        <v>26</v>
      </c>
      <c r="B226" t="s">
        <v>26</v>
      </c>
      <c r="C226" t="s">
        <v>22</v>
      </c>
      <c r="D226">
        <v>27</v>
      </c>
      <c r="E226">
        <v>2014</v>
      </c>
      <c r="F226" t="s">
        <v>14</v>
      </c>
      <c r="G226">
        <v>1021</v>
      </c>
      <c r="H226">
        <v>10</v>
      </c>
      <c r="I226">
        <v>13</v>
      </c>
      <c r="L226">
        <v>1044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L26" sqref="A2:L26"/>
    </sheetView>
  </sheetViews>
  <sheetFormatPr defaultColWidth="9.23076923076923" defaultRowHeight="16.8"/>
  <cols>
    <col min="1" max="1" width="9.23076923076923" customWidth="1"/>
    <col min="2" max="2" width="20.7692307692308" customWidth="1"/>
    <col min="3" max="3" width="14.3846153846154" customWidth="1"/>
    <col min="4" max="4" width="6.53846153846154" customWidth="1"/>
    <col min="5" max="5" width="5.84615384615385" customWidth="1"/>
    <col min="6" max="6" width="22" customWidth="1"/>
    <col min="7" max="7" width="16.7692307692308" customWidth="1"/>
    <col min="8" max="8" width="22.2307692307692" customWidth="1"/>
    <col min="9" max="9" width="18.6153846153846" customWidth="1"/>
    <col min="10" max="10" width="18.6923076923077" customWidth="1"/>
    <col min="11" max="11" width="14" customWidth="1"/>
    <col min="12" max="12" width="12.076923076923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26</v>
      </c>
      <c r="B2" t="s">
        <v>26</v>
      </c>
      <c r="C2" t="s">
        <v>13</v>
      </c>
      <c r="D2">
        <v>27</v>
      </c>
      <c r="E2">
        <v>2026</v>
      </c>
      <c r="F2" t="s">
        <v>14</v>
      </c>
      <c r="G2">
        <f>SUMIFS(Data_Master_2015_2026_UPDATED_t!G:G,Data_Master_2015_2026_UPDATED_t!$C:$C,$C2,Data_Master_2015_2026_UPDATED_t!$E:$E,$E2)</f>
        <v>556</v>
      </c>
      <c r="H2">
        <f>SUMIFS(Data_Master_2015_2026_UPDATED_t!H:H,Data_Master_2015_2026_UPDATED_t!$C:$C,$C2,Data_Master_2015_2026_UPDATED_t!$E:$E,$E2)</f>
        <v>200</v>
      </c>
      <c r="I2">
        <f>SUMIFS(Data_Master_2015_2026_UPDATED_t!I:I,Data_Master_2015_2026_UPDATED_t!$C:$C,$C2,Data_Master_2015_2026_UPDATED_t!$E:$E,$E2)</f>
        <v>14</v>
      </c>
      <c r="J2">
        <f>SUMIFS(Data_Master_2015_2026_UPDATED_t!J:J,Data_Master_2015_2026_UPDATED_t!$C:$C,$C2,Data_Master_2015_2026_UPDATED_t!$E:$E,$E2)</f>
        <v>20962</v>
      </c>
      <c r="K2">
        <f>L2/J2</f>
        <v>0.0367331361511306</v>
      </c>
      <c r="L2">
        <f>SUMIFS(Data_Master_2015_2026_UPDATED_t!L:L,Data_Master_2015_2026_UPDATED_t!$C:$C,$C2,Data_Master_2015_2026_UPDATED_t!$E:$E,$E2)</f>
        <v>770</v>
      </c>
    </row>
    <row r="3" spans="1:12">
      <c r="A3" t="s">
        <v>26</v>
      </c>
      <c r="B3" t="s">
        <v>26</v>
      </c>
      <c r="C3" t="s">
        <v>22</v>
      </c>
      <c r="D3">
        <v>27</v>
      </c>
      <c r="E3">
        <v>2025</v>
      </c>
      <c r="F3" t="s">
        <v>23</v>
      </c>
      <c r="G3">
        <f>SUMIFS(Data_Master_2015_2026_UPDATED_t!G:G,Data_Master_2015_2026_UPDATED_t!$C:$C,$C3,Data_Master_2015_2026_UPDATED_t!$E:$E,$E3)</f>
        <v>3798</v>
      </c>
      <c r="H3">
        <f>SUMIFS(Data_Master_2015_2026_UPDATED_t!H:H,Data_Master_2015_2026_UPDATED_t!$C:$C,$C3,Data_Master_2015_2026_UPDATED_t!$E:$E,$E3)</f>
        <v>272</v>
      </c>
      <c r="I3">
        <f>SUMIFS(Data_Master_2015_2026_UPDATED_t!I:I,Data_Master_2015_2026_UPDATED_t!$C:$C,$C3,Data_Master_2015_2026_UPDATED_t!$E:$E,$E3)</f>
        <v>60</v>
      </c>
      <c r="J3">
        <f>SUMIFS(Data_Master_2015_2026_UPDATED_t!J:J,Data_Master_2015_2026_UPDATED_t!$C:$C,$C3,Data_Master_2015_2026_UPDATED_t!$E:$E,$E3)</f>
        <v>20902</v>
      </c>
      <c r="K3">
        <f t="shared" ref="K3:K12" si="0">L3/J3</f>
        <v>0.197588747488279</v>
      </c>
      <c r="L3">
        <f>SUMIFS(Data_Master_2015_2026_UPDATED_t!L:L,Data_Master_2015_2026_UPDATED_t!$C:$C,$C3,Data_Master_2015_2026_UPDATED_t!$E:$E,$E3)</f>
        <v>4130</v>
      </c>
    </row>
    <row r="4" spans="1:12">
      <c r="A4" t="s">
        <v>26</v>
      </c>
      <c r="B4" t="s">
        <v>26</v>
      </c>
      <c r="C4" t="s">
        <v>13</v>
      </c>
      <c r="D4">
        <v>27</v>
      </c>
      <c r="E4">
        <v>2025</v>
      </c>
      <c r="F4" t="s">
        <v>23</v>
      </c>
      <c r="G4">
        <f>SUMIFS(Data_Master_2015_2026_UPDATED_t!G:G,Data_Master_2015_2026_UPDATED_t!$C:$C,$C4,Data_Master_2015_2026_UPDATED_t!$E:$E,$E4)</f>
        <v>282</v>
      </c>
      <c r="H4">
        <f>SUMIFS(Data_Master_2015_2026_UPDATED_t!H:H,Data_Master_2015_2026_UPDATED_t!$C:$C,$C4,Data_Master_2015_2026_UPDATED_t!$E:$E,$E4)</f>
        <v>98</v>
      </c>
      <c r="I4">
        <f>SUMIFS(Data_Master_2015_2026_UPDATED_t!I:I,Data_Master_2015_2026_UPDATED_t!$C:$C,$C4,Data_Master_2015_2026_UPDATED_t!$E:$E,$E4)</f>
        <v>10</v>
      </c>
      <c r="J4">
        <f>SUMIFS(Data_Master_2015_2026_UPDATED_t!J:J,Data_Master_2015_2026_UPDATED_t!$C:$C,$C4,Data_Master_2015_2026_UPDATED_t!$E:$E,$E4)</f>
        <v>20350</v>
      </c>
      <c r="K4">
        <f t="shared" si="0"/>
        <v>0.0191646191646192</v>
      </c>
      <c r="L4">
        <f>SUMIFS(Data_Master_2015_2026_UPDATED_t!L:L,Data_Master_2015_2026_UPDATED_t!$C:$C,$C4,Data_Master_2015_2026_UPDATED_t!$E:$E,$E4)</f>
        <v>390</v>
      </c>
    </row>
    <row r="5" spans="1:12">
      <c r="A5" t="s">
        <v>26</v>
      </c>
      <c r="B5" t="s">
        <v>26</v>
      </c>
      <c r="C5" t="s">
        <v>22</v>
      </c>
      <c r="D5">
        <v>27</v>
      </c>
      <c r="E5">
        <v>2024</v>
      </c>
      <c r="F5" t="s">
        <v>24</v>
      </c>
      <c r="G5">
        <f>SUMIFS(Data_Master_2015_2026_UPDATED_t!G:G,Data_Master_2015_2026_UPDATED_t!$C:$C,$C5,Data_Master_2015_2026_UPDATED_t!$E:$E,$E5)</f>
        <v>9116</v>
      </c>
      <c r="H5">
        <f>SUMIFS(Data_Master_2015_2026_UPDATED_t!H:H,Data_Master_2015_2026_UPDATED_t!$C:$C,$C5,Data_Master_2015_2026_UPDATED_t!$E:$E,$E5)</f>
        <v>2492</v>
      </c>
      <c r="I5">
        <f>SUMIFS(Data_Master_2015_2026_UPDATED_t!I:I,Data_Master_2015_2026_UPDATED_t!$C:$C,$C5,Data_Master_2015_2026_UPDATED_t!$E:$E,$E5)</f>
        <v>170</v>
      </c>
      <c r="J5">
        <f>SUMIFS(Data_Master_2015_2026_UPDATED_t!J:J,Data_Master_2015_2026_UPDATED_t!$C:$C,$C5,Data_Master_2015_2026_UPDATED_t!$E:$E,$E5)</f>
        <v>23324</v>
      </c>
      <c r="K5">
        <f t="shared" si="0"/>
        <v>0.504973417938604</v>
      </c>
      <c r="L5">
        <f>SUMIFS(Data_Master_2015_2026_UPDATED_t!L:L,Data_Master_2015_2026_UPDATED_t!$C:$C,$C5,Data_Master_2015_2026_UPDATED_t!$E:$E,$E5)</f>
        <v>11778</v>
      </c>
    </row>
    <row r="6" spans="1:12">
      <c r="A6" t="s">
        <v>26</v>
      </c>
      <c r="B6" t="s">
        <v>26</v>
      </c>
      <c r="C6" t="s">
        <v>13</v>
      </c>
      <c r="D6">
        <v>27</v>
      </c>
      <c r="E6">
        <v>2024</v>
      </c>
      <c r="F6" t="s">
        <v>24</v>
      </c>
      <c r="G6">
        <f>SUMIFS(Data_Master_2015_2026_UPDATED_t!G:G,Data_Master_2015_2026_UPDATED_t!$C:$C,$C6,Data_Master_2015_2026_UPDATED_t!$E:$E,$E6)</f>
        <v>1326</v>
      </c>
      <c r="H6">
        <f>SUMIFS(Data_Master_2015_2026_UPDATED_t!H:H,Data_Master_2015_2026_UPDATED_t!$C:$C,$C6,Data_Master_2015_2026_UPDATED_t!$E:$E,$E6)</f>
        <v>126</v>
      </c>
      <c r="I6">
        <f>SUMIFS(Data_Master_2015_2026_UPDATED_t!I:I,Data_Master_2015_2026_UPDATED_t!$C:$C,$C6,Data_Master_2015_2026_UPDATED_t!$E:$E,$E6)</f>
        <v>18</v>
      </c>
      <c r="J6">
        <f>SUMIFS(Data_Master_2015_2026_UPDATED_t!J:J,Data_Master_2015_2026_UPDATED_t!$C:$C,$C6,Data_Master_2015_2026_UPDATED_t!$E:$E,$E6)</f>
        <v>17712</v>
      </c>
      <c r="K6">
        <f t="shared" si="0"/>
        <v>0.0829945799457995</v>
      </c>
      <c r="L6">
        <f>SUMIFS(Data_Master_2015_2026_UPDATED_t!L:L,Data_Master_2015_2026_UPDATED_t!$C:$C,$C6,Data_Master_2015_2026_UPDATED_t!$E:$E,$E6)</f>
        <v>1470</v>
      </c>
    </row>
    <row r="7" spans="1:12">
      <c r="A7" t="s">
        <v>26</v>
      </c>
      <c r="B7" t="s">
        <v>26</v>
      </c>
      <c r="C7" t="s">
        <v>22</v>
      </c>
      <c r="D7">
        <v>27</v>
      </c>
      <c r="E7">
        <v>2023</v>
      </c>
      <c r="F7" t="s">
        <v>25</v>
      </c>
      <c r="G7">
        <f>SUMIFS(Data_Master_2015_2026_UPDATED_t!G:G,Data_Master_2015_2026_UPDATED_t!$C:$C,$C7,Data_Master_2015_2026_UPDATED_t!$E:$E,$E7)</f>
        <v>2330</v>
      </c>
      <c r="H7">
        <f>SUMIFS(Data_Master_2015_2026_UPDATED_t!H:H,Data_Master_2015_2026_UPDATED_t!$C:$C,$C7,Data_Master_2015_2026_UPDATED_t!$E:$E,$E7)</f>
        <v>206</v>
      </c>
      <c r="I7">
        <f>SUMIFS(Data_Master_2015_2026_UPDATED_t!I:I,Data_Master_2015_2026_UPDATED_t!$C:$C,$C7,Data_Master_2015_2026_UPDATED_t!$E:$E,$E7)</f>
        <v>162</v>
      </c>
      <c r="J7">
        <f>SUMIFS(Data_Master_2015_2026_UPDATED_t!J:J,Data_Master_2015_2026_UPDATED_t!$C:$C,$C7,Data_Master_2015_2026_UPDATED_t!$E:$E,$E7)</f>
        <v>17512</v>
      </c>
      <c r="K7">
        <f t="shared" si="0"/>
        <v>0.154065783462768</v>
      </c>
      <c r="L7">
        <f>SUMIFS(Data_Master_2015_2026_UPDATED_t!L:L,Data_Master_2015_2026_UPDATED_t!$C:$C,$C7,Data_Master_2015_2026_UPDATED_t!$E:$E,$E7)</f>
        <v>2698</v>
      </c>
    </row>
    <row r="8" spans="1:12">
      <c r="A8" t="s">
        <v>26</v>
      </c>
      <c r="B8" t="s">
        <v>26</v>
      </c>
      <c r="C8" t="s">
        <v>13</v>
      </c>
      <c r="D8">
        <v>27</v>
      </c>
      <c r="E8">
        <v>2023</v>
      </c>
      <c r="F8" t="s">
        <v>25</v>
      </c>
      <c r="G8">
        <f>SUMIFS(Data_Master_2015_2026_UPDATED_t!G:G,Data_Master_2015_2026_UPDATED_t!$C:$C,$C8,Data_Master_2015_2026_UPDATED_t!$E:$E,$E8)</f>
        <v>576</v>
      </c>
      <c r="H8">
        <f>SUMIFS(Data_Master_2015_2026_UPDATED_t!H:H,Data_Master_2015_2026_UPDATED_t!$C:$C,$C8,Data_Master_2015_2026_UPDATED_t!$E:$E,$E8)</f>
        <v>224</v>
      </c>
      <c r="I8">
        <f>SUMIFS(Data_Master_2015_2026_UPDATED_t!I:I,Data_Master_2015_2026_UPDATED_t!$C:$C,$C8,Data_Master_2015_2026_UPDATED_t!$E:$E,$E8)</f>
        <v>12</v>
      </c>
      <c r="J8">
        <f>SUMIFS(Data_Master_2015_2026_UPDATED_t!J:J,Data_Master_2015_2026_UPDATED_t!$C:$C,$C8,Data_Master_2015_2026_UPDATED_t!$E:$E,$E8)</f>
        <v>16328</v>
      </c>
      <c r="K8">
        <f t="shared" si="0"/>
        <v>0.0497305242528172</v>
      </c>
      <c r="L8">
        <f>SUMIFS(Data_Master_2015_2026_UPDATED_t!L:L,Data_Master_2015_2026_UPDATED_t!$C:$C,$C8,Data_Master_2015_2026_UPDATED_t!$E:$E,$E8)</f>
        <v>812</v>
      </c>
    </row>
    <row r="9" spans="1:12">
      <c r="A9" t="s">
        <v>26</v>
      </c>
      <c r="B9" t="s">
        <v>26</v>
      </c>
      <c r="C9" t="s">
        <v>22</v>
      </c>
      <c r="D9">
        <v>27</v>
      </c>
      <c r="E9">
        <v>2022</v>
      </c>
      <c r="F9" t="s">
        <v>14</v>
      </c>
      <c r="G9">
        <f>SUMIFS(Data_Master_2015_2026_UPDATED_t!G:G,Data_Master_2015_2026_UPDATED_t!$C:$C,$C9,Data_Master_2015_2026_UPDATED_t!$E:$E,$E9)</f>
        <v>4732</v>
      </c>
      <c r="H9">
        <f>SUMIFS(Data_Master_2015_2026_UPDATED_t!H:H,Data_Master_2015_2026_UPDATED_t!$C:$C,$C9,Data_Master_2015_2026_UPDATED_t!$E:$E,$E9)</f>
        <v>572</v>
      </c>
      <c r="I9">
        <f>SUMIFS(Data_Master_2015_2026_UPDATED_t!I:I,Data_Master_2015_2026_UPDATED_t!$C:$C,$C9,Data_Master_2015_2026_UPDATED_t!$E:$E,$E9)</f>
        <v>162</v>
      </c>
      <c r="J9">
        <f>SUMIFS(Data_Master_2015_2026_UPDATED_t!J:J,Data_Master_2015_2026_UPDATED_t!$C:$C,$C9,Data_Master_2015_2026_UPDATED_t!$E:$E,$E9)</f>
        <v>20058</v>
      </c>
      <c r="K9">
        <f t="shared" si="0"/>
        <v>0.27250972180676</v>
      </c>
      <c r="L9">
        <f>SUMIFS(Data_Master_2015_2026_UPDATED_t!L:L,Data_Master_2015_2026_UPDATED_t!$C:$C,$C9,Data_Master_2015_2026_UPDATED_t!$E:$E,$E9)</f>
        <v>5466</v>
      </c>
    </row>
    <row r="10" spans="1:12">
      <c r="A10" t="s">
        <v>26</v>
      </c>
      <c r="B10" t="s">
        <v>26</v>
      </c>
      <c r="C10" t="s">
        <v>13</v>
      </c>
      <c r="D10">
        <v>27</v>
      </c>
      <c r="E10">
        <v>2022</v>
      </c>
      <c r="F10" t="s">
        <v>14</v>
      </c>
      <c r="G10">
        <f>SUMIFS(Data_Master_2015_2026_UPDATED_t!G:G,Data_Master_2015_2026_UPDATED_t!$C:$C,$C10,Data_Master_2015_2026_UPDATED_t!$E:$E,$E10)</f>
        <v>470</v>
      </c>
      <c r="H10">
        <f>SUMIFS(Data_Master_2015_2026_UPDATED_t!H:H,Data_Master_2015_2026_UPDATED_t!$C:$C,$C10,Data_Master_2015_2026_UPDATED_t!$E:$E,$E10)</f>
        <v>214</v>
      </c>
      <c r="I10">
        <f>SUMIFS(Data_Master_2015_2026_UPDATED_t!I:I,Data_Master_2015_2026_UPDATED_t!$C:$C,$C10,Data_Master_2015_2026_UPDATED_t!$E:$E,$E10)</f>
        <v>10</v>
      </c>
      <c r="J10">
        <f>SUMIFS(Data_Master_2015_2026_UPDATED_t!J:J,Data_Master_2015_2026_UPDATED_t!$C:$C,$C10,Data_Master_2015_2026_UPDATED_t!$E:$E,$E10)</f>
        <v>18134</v>
      </c>
      <c r="K10">
        <f t="shared" si="0"/>
        <v>0.0382706518142715</v>
      </c>
      <c r="L10">
        <f>SUMIFS(Data_Master_2015_2026_UPDATED_t!L:L,Data_Master_2015_2026_UPDATED_t!$C:$C,$C10,Data_Master_2015_2026_UPDATED_t!$E:$E,$E10)</f>
        <v>694</v>
      </c>
    </row>
    <row r="11" spans="1:12">
      <c r="A11" t="s">
        <v>26</v>
      </c>
      <c r="B11" t="s">
        <v>26</v>
      </c>
      <c r="C11" t="s">
        <v>22</v>
      </c>
      <c r="D11">
        <v>27</v>
      </c>
      <c r="E11">
        <v>2021</v>
      </c>
      <c r="F11" t="s">
        <v>23</v>
      </c>
      <c r="G11">
        <f>SUMIFS(Data_Master_2015_2026_UPDATED_t!G:G,Data_Master_2015_2026_UPDATED_t!$C:$C,$C11,Data_Master_2015_2026_UPDATED_t!$E:$E,$E11)</f>
        <v>1014</v>
      </c>
      <c r="H11">
        <f>SUMIFS(Data_Master_2015_2026_UPDATED_t!H:H,Data_Master_2015_2026_UPDATED_t!$C:$C,$C11,Data_Master_2015_2026_UPDATED_t!$E:$E,$E11)</f>
        <v>172</v>
      </c>
      <c r="I11">
        <f>SUMIFS(Data_Master_2015_2026_UPDATED_t!I:I,Data_Master_2015_2026_UPDATED_t!$C:$C,$C11,Data_Master_2015_2026_UPDATED_t!$E:$E,$E11)</f>
        <v>26</v>
      </c>
      <c r="J11">
        <f>SUMIFS(Data_Master_2015_2026_UPDATED_t!J:J,Data_Master_2015_2026_UPDATED_t!$C:$C,$C11,Data_Master_2015_2026_UPDATED_t!$E:$E,$E11)</f>
        <v>17970</v>
      </c>
      <c r="K11">
        <f t="shared" si="0"/>
        <v>0.0674457429048414</v>
      </c>
      <c r="L11">
        <f>SUMIFS(Data_Master_2015_2026_UPDATED_t!L:L,Data_Master_2015_2026_UPDATED_t!$C:$C,$C11,Data_Master_2015_2026_UPDATED_t!$E:$E,$E11)</f>
        <v>1212</v>
      </c>
    </row>
    <row r="12" spans="1:12">
      <c r="A12" t="s">
        <v>26</v>
      </c>
      <c r="B12" t="s">
        <v>26</v>
      </c>
      <c r="C12" t="s">
        <v>13</v>
      </c>
      <c r="D12">
        <v>27</v>
      </c>
      <c r="E12">
        <v>2021</v>
      </c>
      <c r="F12" t="s">
        <v>23</v>
      </c>
      <c r="G12">
        <f>SUMIFS(Data_Master_2015_2026_UPDATED_t!G:G,Data_Master_2015_2026_UPDATED_t!$C:$C,$C12,Data_Master_2015_2026_UPDATED_t!$E:$E,$E12)</f>
        <v>454</v>
      </c>
      <c r="H12">
        <f>SUMIFS(Data_Master_2015_2026_UPDATED_t!H:H,Data_Master_2015_2026_UPDATED_t!$C:$C,$C12,Data_Master_2015_2026_UPDATED_t!$E:$E,$E12)</f>
        <v>220</v>
      </c>
      <c r="I12">
        <f>SUMIFS(Data_Master_2015_2026_UPDATED_t!I:I,Data_Master_2015_2026_UPDATED_t!$C:$C,$C12,Data_Master_2015_2026_UPDATED_t!$E:$E,$E12)</f>
        <v>12</v>
      </c>
      <c r="J12">
        <f>SUMIFS(Data_Master_2015_2026_UPDATED_t!J:J,Data_Master_2015_2026_UPDATED_t!$C:$C,$C12,Data_Master_2015_2026_UPDATED_t!$E:$E,$E12)</f>
        <v>16910</v>
      </c>
      <c r="K12">
        <f t="shared" si="0"/>
        <v>0.0405677114133649</v>
      </c>
      <c r="L12">
        <f>SUMIFS(Data_Master_2015_2026_UPDATED_t!L:L,Data_Master_2015_2026_UPDATED_t!$C:$C,$C12,Data_Master_2015_2026_UPDATED_t!$E:$E,$E12)</f>
        <v>686</v>
      </c>
    </row>
    <row r="13" spans="1:12">
      <c r="A13" t="s">
        <v>26</v>
      </c>
      <c r="B13" t="s">
        <v>26</v>
      </c>
      <c r="C13" t="s">
        <v>22</v>
      </c>
      <c r="D13">
        <v>27</v>
      </c>
      <c r="E13">
        <v>2020</v>
      </c>
      <c r="F13" t="s">
        <v>24</v>
      </c>
      <c r="G13">
        <f>SUMIFS(Data_Master_2015_2026_UPDATED_t!G:G,Data_Master_2015_2026_UPDATED_t!$C:$C,$C13,Data_Master_2015_2026_UPDATED_t!$E:$E,$E13)</f>
        <v>2040</v>
      </c>
      <c r="H13">
        <f>SUMIFS(Data_Master_2015_2026_UPDATED_t!H:H,Data_Master_2015_2026_UPDATED_t!$C:$C,$C13,Data_Master_2015_2026_UPDATED_t!$E:$E,$E13)</f>
        <v>3860</v>
      </c>
      <c r="I13">
        <f>SUMIFS(Data_Master_2015_2026_UPDATED_t!I:I,Data_Master_2015_2026_UPDATED_t!$C:$C,$C13,Data_Master_2015_2026_UPDATED_t!$E:$E,$E13)</f>
        <v>88</v>
      </c>
      <c r="L13">
        <f>SUMIFS(Data_Master_2015_2026_UPDATED_t!L:L,Data_Master_2015_2026_UPDATED_t!$C:$C,$C13,Data_Master_2015_2026_UPDATED_t!$E:$E,$E13)</f>
        <v>5988</v>
      </c>
    </row>
    <row r="14" spans="1:12">
      <c r="A14" t="s">
        <v>26</v>
      </c>
      <c r="B14" t="s">
        <v>26</v>
      </c>
      <c r="C14" t="s">
        <v>13</v>
      </c>
      <c r="D14">
        <v>27</v>
      </c>
      <c r="E14">
        <v>2020</v>
      </c>
      <c r="F14" t="s">
        <v>24</v>
      </c>
      <c r="G14">
        <f>SUMIFS(Data_Master_2015_2026_UPDATED_t!G:G,Data_Master_2015_2026_UPDATED_t!$C:$C,$C14,Data_Master_2015_2026_UPDATED_t!$E:$E,$E14)</f>
        <v>554</v>
      </c>
      <c r="H14">
        <f>SUMIFS(Data_Master_2015_2026_UPDATED_t!H:H,Data_Master_2015_2026_UPDATED_t!$C:$C,$C14,Data_Master_2015_2026_UPDATED_t!$E:$E,$E14)</f>
        <v>894</v>
      </c>
      <c r="I14">
        <f>SUMIFS(Data_Master_2015_2026_UPDATED_t!I:I,Data_Master_2015_2026_UPDATED_t!$C:$C,$C14,Data_Master_2015_2026_UPDATED_t!$E:$E,$E14)</f>
        <v>14</v>
      </c>
      <c r="L14">
        <f>SUMIFS(Data_Master_2015_2026_UPDATED_t!L:L,Data_Master_2015_2026_UPDATED_t!$C:$C,$C14,Data_Master_2015_2026_UPDATED_t!$E:$E,$E14)</f>
        <v>1462</v>
      </c>
    </row>
    <row r="15" spans="1:12">
      <c r="A15" t="s">
        <v>26</v>
      </c>
      <c r="B15" t="s">
        <v>26</v>
      </c>
      <c r="C15" t="s">
        <v>22</v>
      </c>
      <c r="D15">
        <v>27</v>
      </c>
      <c r="E15">
        <v>2019</v>
      </c>
      <c r="F15" t="s">
        <v>25</v>
      </c>
      <c r="G15">
        <f>SUMIFS(Data_Master_2015_2026_UPDATED_t!G:G,Data_Master_2015_2026_UPDATED_t!$C:$C,$C15,Data_Master_2015_2026_UPDATED_t!$E:$E,$E15)</f>
        <v>2390</v>
      </c>
      <c r="H15">
        <f>SUMIFS(Data_Master_2015_2026_UPDATED_t!H:H,Data_Master_2015_2026_UPDATED_t!$C:$C,$C15,Data_Master_2015_2026_UPDATED_t!$E:$E,$E15)</f>
        <v>70</v>
      </c>
      <c r="I15">
        <f>SUMIFS(Data_Master_2015_2026_UPDATED_t!I:I,Data_Master_2015_2026_UPDATED_t!$C:$C,$C15,Data_Master_2015_2026_UPDATED_t!$E:$E,$E15)</f>
        <v>0</v>
      </c>
      <c r="L15">
        <f>SUMIFS(Data_Master_2015_2026_UPDATED_t!L:L,Data_Master_2015_2026_UPDATED_t!$C:$C,$C15,Data_Master_2015_2026_UPDATED_t!$E:$E,$E15)</f>
        <v>2460</v>
      </c>
    </row>
    <row r="16" spans="1:12">
      <c r="A16" t="s">
        <v>26</v>
      </c>
      <c r="B16" t="s">
        <v>26</v>
      </c>
      <c r="C16" t="s">
        <v>13</v>
      </c>
      <c r="D16">
        <v>27</v>
      </c>
      <c r="E16">
        <v>2019</v>
      </c>
      <c r="F16" t="s">
        <v>25</v>
      </c>
      <c r="G16">
        <f>SUMIFS(Data_Master_2015_2026_UPDATED_t!G:G,Data_Master_2015_2026_UPDATED_t!$C:$C,$C16,Data_Master_2015_2026_UPDATED_t!$E:$E,$E16)</f>
        <v>588</v>
      </c>
      <c r="H16">
        <f>SUMIFS(Data_Master_2015_2026_UPDATED_t!H:H,Data_Master_2015_2026_UPDATED_t!$C:$C,$C16,Data_Master_2015_2026_UPDATED_t!$E:$E,$E16)</f>
        <v>48</v>
      </c>
      <c r="I16">
        <f>SUMIFS(Data_Master_2015_2026_UPDATED_t!I:I,Data_Master_2015_2026_UPDATED_t!$C:$C,$C16,Data_Master_2015_2026_UPDATED_t!$E:$E,$E16)</f>
        <v>0</v>
      </c>
      <c r="L16">
        <f>SUMIFS(Data_Master_2015_2026_UPDATED_t!L:L,Data_Master_2015_2026_UPDATED_t!$C:$C,$C16,Data_Master_2015_2026_UPDATED_t!$E:$E,$E16)</f>
        <v>636</v>
      </c>
    </row>
    <row r="17" spans="1:12">
      <c r="A17" t="s">
        <v>26</v>
      </c>
      <c r="B17" t="s">
        <v>26</v>
      </c>
      <c r="C17" t="s">
        <v>22</v>
      </c>
      <c r="D17">
        <v>27</v>
      </c>
      <c r="E17">
        <v>2018</v>
      </c>
      <c r="F17" t="s">
        <v>14</v>
      </c>
      <c r="G17">
        <f>SUMIFS(Data_Master_2015_2026_UPDATED_t!G:G,Data_Master_2015_2026_UPDATED_t!$C:$C,$C17,Data_Master_2015_2026_UPDATED_t!$E:$E,$E17)</f>
        <v>6940</v>
      </c>
      <c r="H17">
        <f>SUMIFS(Data_Master_2015_2026_UPDATED_t!H:H,Data_Master_2015_2026_UPDATED_t!$C:$C,$C17,Data_Master_2015_2026_UPDATED_t!$E:$E,$E17)</f>
        <v>156</v>
      </c>
      <c r="I17">
        <f>SUMIFS(Data_Master_2015_2026_UPDATED_t!I:I,Data_Master_2015_2026_UPDATED_t!$C:$C,$C17,Data_Master_2015_2026_UPDATED_t!$E:$E,$E17)</f>
        <v>74</v>
      </c>
      <c r="L17">
        <f>SUMIFS(Data_Master_2015_2026_UPDATED_t!L:L,Data_Master_2015_2026_UPDATED_t!$C:$C,$C17,Data_Master_2015_2026_UPDATED_t!$E:$E,$E17)</f>
        <v>7170</v>
      </c>
    </row>
    <row r="18" spans="1:12">
      <c r="A18" t="s">
        <v>26</v>
      </c>
      <c r="B18" t="s">
        <v>26</v>
      </c>
      <c r="C18" t="s">
        <v>13</v>
      </c>
      <c r="D18">
        <v>27</v>
      </c>
      <c r="E18">
        <v>2018</v>
      </c>
      <c r="F18" t="s">
        <v>14</v>
      </c>
      <c r="G18">
        <f>SUMIFS(Data_Master_2015_2026_UPDATED_t!G:G,Data_Master_2015_2026_UPDATED_t!$C:$C,$C18,Data_Master_2015_2026_UPDATED_t!$E:$E,$E18)</f>
        <v>472</v>
      </c>
      <c r="H18">
        <f>SUMIFS(Data_Master_2015_2026_UPDATED_t!H:H,Data_Master_2015_2026_UPDATED_t!$C:$C,$C18,Data_Master_2015_2026_UPDATED_t!$E:$E,$E18)</f>
        <v>30</v>
      </c>
      <c r="I18">
        <f>SUMIFS(Data_Master_2015_2026_UPDATED_t!I:I,Data_Master_2015_2026_UPDATED_t!$C:$C,$C18,Data_Master_2015_2026_UPDATED_t!$E:$E,$E18)</f>
        <v>30</v>
      </c>
      <c r="L18">
        <f>SUMIFS(Data_Master_2015_2026_UPDATED_t!L:L,Data_Master_2015_2026_UPDATED_t!$C:$C,$C18,Data_Master_2015_2026_UPDATED_t!$E:$E,$E18)</f>
        <v>532</v>
      </c>
    </row>
    <row r="19" spans="1:12">
      <c r="A19" t="s">
        <v>26</v>
      </c>
      <c r="B19" t="s">
        <v>26</v>
      </c>
      <c r="C19" t="s">
        <v>22</v>
      </c>
      <c r="D19">
        <v>27</v>
      </c>
      <c r="E19">
        <v>2017</v>
      </c>
      <c r="F19" t="s">
        <v>23</v>
      </c>
      <c r="G19">
        <f>SUMIFS(Data_Master_2015_2026_UPDATED_t!G:G,Data_Master_2015_2026_UPDATED_t!$C:$C,$C19,Data_Master_2015_2026_UPDATED_t!$E:$E,$E19)</f>
        <v>1792</v>
      </c>
      <c r="H19">
        <f>SUMIFS(Data_Master_2015_2026_UPDATED_t!H:H,Data_Master_2015_2026_UPDATED_t!$C:$C,$C19,Data_Master_2015_2026_UPDATED_t!$E:$E,$E19)</f>
        <v>32</v>
      </c>
      <c r="I19">
        <f>SUMIFS(Data_Master_2015_2026_UPDATED_t!I:I,Data_Master_2015_2026_UPDATED_t!$C:$C,$C19,Data_Master_2015_2026_UPDATED_t!$E:$E,$E19)</f>
        <v>44</v>
      </c>
      <c r="L19">
        <f>SUMIFS(Data_Master_2015_2026_UPDATED_t!L:L,Data_Master_2015_2026_UPDATED_t!$C:$C,$C19,Data_Master_2015_2026_UPDATED_t!$E:$E,$E19)</f>
        <v>1868</v>
      </c>
    </row>
    <row r="20" spans="1:12">
      <c r="A20" t="s">
        <v>26</v>
      </c>
      <c r="B20" t="s">
        <v>26</v>
      </c>
      <c r="C20" t="s">
        <v>13</v>
      </c>
      <c r="D20">
        <v>27</v>
      </c>
      <c r="E20">
        <v>2017</v>
      </c>
      <c r="F20" t="s">
        <v>23</v>
      </c>
      <c r="G20">
        <f>SUMIFS(Data_Master_2015_2026_UPDATED_t!G:G,Data_Master_2015_2026_UPDATED_t!$C:$C,$C20,Data_Master_2015_2026_UPDATED_t!$E:$E,$E20)</f>
        <v>728</v>
      </c>
      <c r="H20">
        <f>SUMIFS(Data_Master_2015_2026_UPDATED_t!H:H,Data_Master_2015_2026_UPDATED_t!$C:$C,$C20,Data_Master_2015_2026_UPDATED_t!$E:$E,$E20)</f>
        <v>28</v>
      </c>
      <c r="I20">
        <f>SUMIFS(Data_Master_2015_2026_UPDATED_t!I:I,Data_Master_2015_2026_UPDATED_t!$C:$C,$C20,Data_Master_2015_2026_UPDATED_t!$E:$E,$E20)</f>
        <v>20</v>
      </c>
      <c r="L20">
        <f>SUMIFS(Data_Master_2015_2026_UPDATED_t!L:L,Data_Master_2015_2026_UPDATED_t!$C:$C,$C20,Data_Master_2015_2026_UPDATED_t!$E:$E,$E20)</f>
        <v>776</v>
      </c>
    </row>
    <row r="21" spans="1:12">
      <c r="A21" t="s">
        <v>26</v>
      </c>
      <c r="B21" t="s">
        <v>26</v>
      </c>
      <c r="C21" t="s">
        <v>22</v>
      </c>
      <c r="D21">
        <v>27</v>
      </c>
      <c r="E21">
        <v>2016</v>
      </c>
      <c r="F21" t="s">
        <v>24</v>
      </c>
      <c r="G21">
        <f>SUMIFS(Data_Master_2015_2026_UPDATED_t!G:G,Data_Master_2015_2026_UPDATED_t!$C:$C,$C21,Data_Master_2015_2026_UPDATED_t!$E:$E,$E21)</f>
        <v>9790</v>
      </c>
      <c r="H21">
        <f>SUMIFS(Data_Master_2015_2026_UPDATED_t!H:H,Data_Master_2015_2026_UPDATED_t!$C:$C,$C21,Data_Master_2015_2026_UPDATED_t!$E:$E,$E21)</f>
        <v>506</v>
      </c>
      <c r="I21">
        <f>SUMIFS(Data_Master_2015_2026_UPDATED_t!I:I,Data_Master_2015_2026_UPDATED_t!$C:$C,$C21,Data_Master_2015_2026_UPDATED_t!$E:$E,$E21)</f>
        <v>140</v>
      </c>
      <c r="L21">
        <f>SUMIFS(Data_Master_2015_2026_UPDATED_t!L:L,Data_Master_2015_2026_UPDATED_t!$C:$C,$C21,Data_Master_2015_2026_UPDATED_t!$E:$E,$E21)</f>
        <v>10436</v>
      </c>
    </row>
    <row r="22" spans="1:12">
      <c r="A22" t="s">
        <v>26</v>
      </c>
      <c r="B22" t="s">
        <v>26</v>
      </c>
      <c r="C22" t="s">
        <v>13</v>
      </c>
      <c r="D22">
        <v>27</v>
      </c>
      <c r="E22">
        <v>2016</v>
      </c>
      <c r="F22" t="s">
        <v>24</v>
      </c>
      <c r="G22">
        <f>SUMIFS(Data_Master_2015_2026_UPDATED_t!G:G,Data_Master_2015_2026_UPDATED_t!$C:$C,$C22,Data_Master_2015_2026_UPDATED_t!$E:$E,$E22)</f>
        <v>4148</v>
      </c>
      <c r="H22">
        <f>SUMIFS(Data_Master_2015_2026_UPDATED_t!H:H,Data_Master_2015_2026_UPDATED_t!$C:$C,$C22,Data_Master_2015_2026_UPDATED_t!$E:$E,$E22)</f>
        <v>44</v>
      </c>
      <c r="I22">
        <f>SUMIFS(Data_Master_2015_2026_UPDATED_t!I:I,Data_Master_2015_2026_UPDATED_t!$C:$C,$C22,Data_Master_2015_2026_UPDATED_t!$E:$E,$E22)</f>
        <v>60</v>
      </c>
      <c r="L22">
        <f>SUMIFS(Data_Master_2015_2026_UPDATED_t!L:L,Data_Master_2015_2026_UPDATED_t!$C:$C,$C22,Data_Master_2015_2026_UPDATED_t!$E:$E,$E22)</f>
        <v>4252</v>
      </c>
    </row>
    <row r="23" spans="1:12">
      <c r="A23" t="s">
        <v>26</v>
      </c>
      <c r="B23" t="s">
        <v>26</v>
      </c>
      <c r="C23" t="s">
        <v>22</v>
      </c>
      <c r="D23">
        <v>27</v>
      </c>
      <c r="E23">
        <v>2015</v>
      </c>
      <c r="F23" t="s">
        <v>25</v>
      </c>
      <c r="G23">
        <f>SUMIFS(Data_Master_2015_2026_UPDATED_t!G:G,Data_Master_2015_2026_UPDATED_t!$C:$C,$C23,Data_Master_2015_2026_UPDATED_t!$E:$E,$E23)</f>
        <v>858</v>
      </c>
      <c r="H23">
        <f>SUMIFS(Data_Master_2015_2026_UPDATED_t!H:H,Data_Master_2015_2026_UPDATED_t!$C:$C,$C23,Data_Master_2015_2026_UPDATED_t!$E:$E,$E23)</f>
        <v>8</v>
      </c>
      <c r="I23">
        <f>SUMIFS(Data_Master_2015_2026_UPDATED_t!I:I,Data_Master_2015_2026_UPDATED_t!$C:$C,$C23,Data_Master_2015_2026_UPDATED_t!$E:$E,$E23)</f>
        <v>26</v>
      </c>
      <c r="L23">
        <f>SUMIFS(Data_Master_2015_2026_UPDATED_t!L:L,Data_Master_2015_2026_UPDATED_t!$C:$C,$C23,Data_Master_2015_2026_UPDATED_t!$E:$E,$E23)</f>
        <v>892</v>
      </c>
    </row>
    <row r="24" spans="1:12">
      <c r="A24" t="s">
        <v>26</v>
      </c>
      <c r="B24" t="s">
        <v>26</v>
      </c>
      <c r="C24" t="s">
        <v>13</v>
      </c>
      <c r="D24">
        <v>27</v>
      </c>
      <c r="E24">
        <v>2015</v>
      </c>
      <c r="F24" t="s">
        <v>25</v>
      </c>
      <c r="G24">
        <f>SUMIFS(Data_Master_2015_2026_UPDATED_t!G:G,Data_Master_2015_2026_UPDATED_t!$C:$C,$C24,Data_Master_2015_2026_UPDATED_t!$E:$E,$E24)</f>
        <v>476</v>
      </c>
      <c r="H24">
        <f>SUMIFS(Data_Master_2015_2026_UPDATED_t!H:H,Data_Master_2015_2026_UPDATED_t!$C:$C,$C24,Data_Master_2015_2026_UPDATED_t!$E:$E,$E24)</f>
        <v>12</v>
      </c>
      <c r="I24">
        <f>SUMIFS(Data_Master_2015_2026_UPDATED_t!I:I,Data_Master_2015_2026_UPDATED_t!$C:$C,$C24,Data_Master_2015_2026_UPDATED_t!$E:$E,$E24)</f>
        <v>22</v>
      </c>
      <c r="L24">
        <f>SUMIFS(Data_Master_2015_2026_UPDATED_t!L:L,Data_Master_2015_2026_UPDATED_t!$C:$C,$C24,Data_Master_2015_2026_UPDATED_t!$E:$E,$E24)</f>
        <v>510</v>
      </c>
    </row>
    <row r="25" spans="1:12">
      <c r="A25" t="s">
        <v>26</v>
      </c>
      <c r="B25" t="s">
        <v>26</v>
      </c>
      <c r="C25" t="s">
        <v>13</v>
      </c>
      <c r="D25">
        <v>27</v>
      </c>
      <c r="E25">
        <v>2014</v>
      </c>
      <c r="F25" t="s">
        <v>14</v>
      </c>
      <c r="G25">
        <f>SUMIFS(Data_Master_2015_2026_UPDATED_t!G:G,Data_Master_2015_2026_UPDATED_t!$C:$C,$C25,Data_Master_2015_2026_UPDATED_t!$E:$E,$E25)</f>
        <v>280</v>
      </c>
      <c r="H25">
        <f>SUMIFS(Data_Master_2015_2026_UPDATED_t!H:H,Data_Master_2015_2026_UPDATED_t!$C:$C,$C25,Data_Master_2015_2026_UPDATED_t!$E:$E,$E25)</f>
        <v>12</v>
      </c>
      <c r="I25">
        <f>SUMIFS(Data_Master_2015_2026_UPDATED_t!I:I,Data_Master_2015_2026_UPDATED_t!$C:$C,$C25,Data_Master_2015_2026_UPDATED_t!$E:$E,$E25)</f>
        <v>4</v>
      </c>
      <c r="L25">
        <f>SUMIFS(Data_Master_2015_2026_UPDATED_t!L:L,Data_Master_2015_2026_UPDATED_t!$C:$C,$C25,Data_Master_2015_2026_UPDATED_t!$E:$E,$E25)</f>
        <v>296</v>
      </c>
    </row>
    <row r="26" spans="1:12">
      <c r="A26" t="s">
        <v>26</v>
      </c>
      <c r="B26" t="s">
        <v>26</v>
      </c>
      <c r="C26" t="s">
        <v>22</v>
      </c>
      <c r="D26">
        <v>27</v>
      </c>
      <c r="E26">
        <v>2014</v>
      </c>
      <c r="F26" t="s">
        <v>14</v>
      </c>
      <c r="G26">
        <f>SUMIFS(Data_Master_2015_2026_UPDATED_t!G:G,Data_Master_2015_2026_UPDATED_t!$C:$C,$C26,Data_Master_2015_2026_UPDATED_t!$E:$E,$E26)</f>
        <v>2042</v>
      </c>
      <c r="H26">
        <f>SUMIFS(Data_Master_2015_2026_UPDATED_t!H:H,Data_Master_2015_2026_UPDATED_t!$C:$C,$C26,Data_Master_2015_2026_UPDATED_t!$E:$E,$E26)</f>
        <v>20</v>
      </c>
      <c r="I26">
        <f>SUMIFS(Data_Master_2015_2026_UPDATED_t!I:I,Data_Master_2015_2026_UPDATED_t!$C:$C,$C26,Data_Master_2015_2026_UPDATED_t!$E:$E,$E26)</f>
        <v>26</v>
      </c>
      <c r="L26">
        <f>SUMIFS(Data_Master_2015_2026_UPDATED_t!L:L,Data_Master_2015_2026_UPDATED_t!$C:$C,$C26,Data_Master_2015_2026_UPDATED_t!$E:$E,$E26)</f>
        <v>2088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Data_Master_2015_2026_UPDATED_t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Dr.Eamer</cp:lastModifiedBy>
  <dcterms:created xsi:type="dcterms:W3CDTF">2026-09-16T04:59:00Z</dcterms:created>
  <dcterms:modified xsi:type="dcterms:W3CDTF">2026-09-21T15:26:44Z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2052-12.1.22553.22553</vt:lpwstr>
  </property>
  <property fmtid="{D5CDD505-2E9C-101B-9397-08002B2CF9AE}" pid="3" name="ICV">
    <vt:lpwstr>1654007CC77F3BB0D3F0AA6A6C175CB1_43</vt:lpwstr>
  </property>
</Properties>
</file>